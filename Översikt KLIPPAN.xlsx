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46236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46236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46236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46236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46236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46236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46236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54644-2023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45235</v>
      </c>
      <c r="E11" s="1" t="n">
        <v>46236</v>
      </c>
      <c r="F11" t="inlineStr">
        <is>
          <t>SKÅNE LÄN</t>
        </is>
      </c>
      <c r="G11" t="inlineStr">
        <is>
          <t>KLIPPAN</t>
        </is>
      </c>
      <c r="I11" t="n">
        <v>8.1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Havstulpanlav
Spillkråka
Skogsduva</t>
        </is>
      </c>
      <c r="W11">
        <f>HYPERLINK("https://klasma.github.io/Logging_1276/artfynd/A 54644-2023 artfynd.xlsx", "A 54644-2023")</f>
        <v/>
      </c>
      <c r="X11">
        <f>HYPERLINK("https://klasma.github.io/Logging_1276/kartor/A 54644-2023 karta.png", "A 54644-2023")</f>
        <v/>
      </c>
      <c r="Y11">
        <f>HYPERLINK("https://klasma.github.io/Logging_1276/kartor_geotiff/A 54644-2023 georefererad karta.tif", "A 54644-2023")</f>
        <v/>
      </c>
      <c r="AA11">
        <f>HYPERLINK("https://klasma.github.io/Logging_1276/klagomål/A 54644-2023 FSC-klagomål.docx", "A 54644-2023")</f>
        <v/>
      </c>
      <c r="AB11">
        <f>HYPERLINK("https://klasma.github.io/Logging_1276/klagomålsmail/A 54644-2023 FSC-klagomål mail.docx", "A 54644-2023")</f>
        <v/>
      </c>
      <c r="AC11">
        <f>HYPERLINK("https://klasma.github.io/Logging_1276/tillsyn/A 54644-2023 tillsynsbegäran.docx", "A 54644-2023")</f>
        <v/>
      </c>
      <c r="AD11">
        <f>HYPERLINK("https://klasma.github.io/Logging_1276/tillsynsmail/A 54644-2023 tillsynsbegäran mail.docx", "A 54644-2023")</f>
        <v/>
      </c>
      <c r="AE11">
        <f>HYPERLINK("https://klasma.github.io/Logging_1276/fåglar/A 54644-2023 prioriterade fågelarter.docx", "A 54644-2023")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46236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46236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46256-2024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45581</v>
      </c>
      <c r="E14" s="1" t="n">
        <v>46236</v>
      </c>
      <c r="F14" t="inlineStr">
        <is>
          <t>SKÅNE LÄN</t>
        </is>
      </c>
      <c r="G14" t="inlineStr">
        <is>
          <t>KLIPPAN</t>
        </is>
      </c>
      <c r="H14" t="inlineStr">
        <is>
          <t>Sveaskog</t>
        </is>
      </c>
      <c r="I14" t="n">
        <v>3.1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Rostfläck
Västlig hakmossa
Spillkråka</t>
        </is>
      </c>
      <c r="W14">
        <f>HYPERLINK("https://klasma.github.io/Logging_1276/artfynd/A 46256-2024 artfynd.xlsx", "A 46256-2024")</f>
        <v/>
      </c>
      <c r="X14">
        <f>HYPERLINK("https://klasma.github.io/Logging_1276/kartor/A 46256-2024 karta.png", "A 46256-2024")</f>
        <v/>
      </c>
      <c r="Y14">
        <f>HYPERLINK("https://klasma.github.io/Logging_1276/kartor_geotiff/A 46256-2024 georefererad karta.tif", "A 46256-2024")</f>
        <v/>
      </c>
      <c r="AA14">
        <f>HYPERLINK("https://klasma.github.io/Logging_1276/klagomål/A 46256-2024 FSC-klagomål.docx", "A 46256-2024")</f>
        <v/>
      </c>
      <c r="AB14">
        <f>HYPERLINK("https://klasma.github.io/Logging_1276/klagomålsmail/A 46256-2024 FSC-klagomål mail.docx", "A 46256-2024")</f>
        <v/>
      </c>
      <c r="AC14">
        <f>HYPERLINK("https://klasma.github.io/Logging_1276/tillsyn/A 46256-2024 tillsynsbegäran.docx", "A 46256-2024")</f>
        <v/>
      </c>
      <c r="AD14">
        <f>HYPERLINK("https://klasma.github.io/Logging_1276/tillsynsmail/A 46256-2024 tillsynsbegäran mail.docx", "A 46256-2024")</f>
        <v/>
      </c>
      <c r="AE14">
        <f>HYPERLINK("https://klasma.github.io/Logging_1276/fåglar/A 46256-2024 prioriterade fågelarter.docx", "A 46256-2024")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46236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46236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46236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46236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46236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46236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46236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46236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46236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46236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29275-2026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46236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Mindre hackspett
Blemlavsklotter</t>
        </is>
      </c>
      <c r="W25">
        <f>HYPERLINK("https://klasma.github.io/Logging_1276/artfynd/A 29275-2026 artfynd.xlsx", "A 29275-2026")</f>
        <v/>
      </c>
      <c r="X25">
        <f>HYPERLINK("https://klasma.github.io/Logging_1276/kartor/A 29275-2026 karta.png", "A 29275-2026")</f>
        <v/>
      </c>
      <c r="Y25">
        <f>HYPERLINK("https://klasma.github.io/Logging_1276/kartor_geotiff/A 29275-2026 georefererad karta.tif", "A 29275-2026")</f>
        <v/>
      </c>
      <c r="AA25">
        <f>HYPERLINK("https://klasma.github.io/Logging_1276/klagomål/A 29275-2026 FSC-klagomål.docx", "A 29275-2026")</f>
        <v/>
      </c>
      <c r="AB25">
        <f>HYPERLINK("https://klasma.github.io/Logging_1276/klagomålsmail/A 29275-2026 FSC-klagomål mail.docx", "A 29275-2026")</f>
        <v/>
      </c>
      <c r="AC25">
        <f>HYPERLINK("https://klasma.github.io/Logging_1276/tillsyn/A 29275-2026 tillsynsbegäran.docx", "A 29275-2026")</f>
        <v/>
      </c>
      <c r="AD25">
        <f>HYPERLINK("https://klasma.github.io/Logging_1276/tillsynsmail/A 29275-2026 tillsynsbegäran mail.docx", "A 29275-2026")</f>
        <v/>
      </c>
      <c r="AE25">
        <f>HYPERLINK("https://klasma.github.io/Logging_1276/fåglar/A 29275-2026 prioriterade fågelarter.docx", "A 29275-2026")</f>
        <v/>
      </c>
    </row>
    <row r="26" ht="15" customHeight="1">
      <c r="A26" t="inlineStr">
        <is>
          <t>A 11673-2022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44633</v>
      </c>
      <c r="E26" s="1" t="n">
        <v>46236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Vanlig groda</t>
        </is>
      </c>
      <c r="W26">
        <f>HYPERLINK("https://klasma.github.io/Logging_1276/artfynd/A 11673-2022 artfynd.xlsx", "A 11673-2022")</f>
        <v/>
      </c>
      <c r="X26">
        <f>HYPERLINK("https://klasma.github.io/Logging_1276/kartor/A 11673-2022 karta.png", "A 11673-2022")</f>
        <v/>
      </c>
      <c r="Y26">
        <f>HYPERLINK("https://klasma.github.io/Logging_1276/kartor_geotiff/A 11673-2022 georefererad karta.tif", "A 11673-2022")</f>
        <v/>
      </c>
      <c r="AA26">
        <f>HYPERLINK("https://klasma.github.io/Logging_1276/klagomål/A 11673-2022 FSC-klagomål.docx", "A 11673-2022")</f>
        <v/>
      </c>
      <c r="AB26">
        <f>HYPERLINK("https://klasma.github.io/Logging_1276/klagomålsmail/A 11673-2022 FSC-klagomål mail.docx", "A 11673-2022")</f>
        <v/>
      </c>
      <c r="AC26">
        <f>HYPERLINK("https://klasma.github.io/Logging_1276/tillsyn/A 11673-2022 tillsynsbegäran.docx", "A 11673-2022")</f>
        <v/>
      </c>
      <c r="AD26">
        <f>HYPERLINK("https://klasma.github.io/Logging_1276/tillsynsmail/A 11673-2022 tillsynsbegäran mail.docx", "A 11673-2022")</f>
        <v/>
      </c>
      <c r="AE26">
        <f>HYPERLINK("https://klasma.github.io/Logging_1276/fåglar/A 11673-2022 prioriterade fågelarter.docx", "A 11673-2022")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46236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46236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46236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46236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46236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61049-2025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46236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61049-2025 artfynd.xlsx", "A 61049-2025")</f>
        <v/>
      </c>
      <c r="X32">
        <f>HYPERLINK("https://klasma.github.io/Logging_1276/kartor/A 61049-2025 karta.png", "A 61049-2025")</f>
        <v/>
      </c>
      <c r="Y32">
        <f>HYPERLINK("https://klasma.github.io/Logging_1276/kartor_geotiff/A 61049-2025 georefererad karta.tif", "A 61049-2025")</f>
        <v/>
      </c>
      <c r="AA32">
        <f>HYPERLINK("https://klasma.github.io/Logging_1276/klagomål/A 61049-2025 FSC-klagomål.docx", "A 61049-2025")</f>
        <v/>
      </c>
      <c r="AB32">
        <f>HYPERLINK("https://klasma.github.io/Logging_1276/klagomålsmail/A 61049-2025 FSC-klagomål mail.docx", "A 61049-2025")</f>
        <v/>
      </c>
      <c r="AC32">
        <f>HYPERLINK("https://klasma.github.io/Logging_1276/tillsyn/A 61049-2025 tillsynsbegäran.docx", "A 61049-2025")</f>
        <v/>
      </c>
      <c r="AD32">
        <f>HYPERLINK("https://klasma.github.io/Logging_1276/tillsynsmail/A 61049-2025 tillsynsbegäran mail.docx", "A 61049-2025")</f>
        <v/>
      </c>
      <c r="AE32">
        <f>HYPERLINK("https://klasma.github.io/Logging_1276/fåglar/A 61049-2025 prioriterade fågelarter.docx", "A 61049-2025")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46236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46236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46236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21788-2026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46236</v>
      </c>
      <c r="F36" t="inlineStr">
        <is>
          <t>SKÅNE LÄN</t>
        </is>
      </c>
      <c r="G36" t="inlineStr">
        <is>
          <t>KLIPPAN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Bäckbräsma</t>
        </is>
      </c>
      <c r="W36">
        <f>HYPERLINK("https://klasma.github.io/Logging_1276/artfynd/A 21788-2026 artfynd.xlsx", "A 21788-2026")</f>
        <v/>
      </c>
      <c r="X36">
        <f>HYPERLINK("https://klasma.github.io/Logging_1276/kartor/A 21788-2026 karta.png", "A 21788-2026")</f>
        <v/>
      </c>
      <c r="Y36">
        <f>HYPERLINK("https://klasma.github.io/Logging_1276/kartor_geotiff/A 21788-2026 georefererad karta.tif", "A 21788-2026")</f>
        <v/>
      </c>
      <c r="AA36">
        <f>HYPERLINK("https://klasma.github.io/Logging_1276/klagomål/A 21788-2026 FSC-klagomål.docx", "A 21788-2026")</f>
        <v/>
      </c>
      <c r="AB36">
        <f>HYPERLINK("https://klasma.github.io/Logging_1276/klagomålsmail/A 21788-2026 FSC-klagomål mail.docx", "A 21788-2026")</f>
        <v/>
      </c>
      <c r="AC36">
        <f>HYPERLINK("https://klasma.github.io/Logging_1276/tillsyn/A 21788-2026 tillsynsbegäran.docx", "A 21788-2026")</f>
        <v/>
      </c>
      <c r="AD36">
        <f>HYPERLINK("https://klasma.github.io/Logging_1276/tillsynsmail/A 21788-2026 tillsynsbegäran mail.docx", "A 21788-2026")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46236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31279-2026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46236</v>
      </c>
      <c r="F38" t="inlineStr">
        <is>
          <t>SKÅNE LÄN</t>
        </is>
      </c>
      <c r="G38" t="inlineStr">
        <is>
          <t>KLIPPAN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31279-2026 artfynd.xlsx", "A 31279-2026")</f>
        <v/>
      </c>
      <c r="X38">
        <f>HYPERLINK("https://klasma.github.io/Logging_1276/kartor/A 31279-2026 karta.png", "A 31279-2026")</f>
        <v/>
      </c>
      <c r="Y38">
        <f>HYPERLINK("https://klasma.github.io/Logging_1276/kartor_geotiff/A 31279-2026 georefererad karta.tif", "A 31279-2026")</f>
        <v/>
      </c>
      <c r="AA38">
        <f>HYPERLINK("https://klasma.github.io/Logging_1276/klagomål/A 31279-2026 FSC-klagomål.docx", "A 31279-2026")</f>
        <v/>
      </c>
      <c r="AB38">
        <f>HYPERLINK("https://klasma.github.io/Logging_1276/klagomålsmail/A 31279-2026 FSC-klagomål mail.docx", "A 31279-2026")</f>
        <v/>
      </c>
      <c r="AC38">
        <f>HYPERLINK("https://klasma.github.io/Logging_1276/tillsyn/A 31279-2026 tillsynsbegäran.docx", "A 31279-2026")</f>
        <v/>
      </c>
      <c r="AD38">
        <f>HYPERLINK("https://klasma.github.io/Logging_1276/tillsynsmail/A 31279-2026 tillsynsbegäran mail.docx", "A 31279-2026")</f>
        <v/>
      </c>
    </row>
    <row r="39" ht="15" customHeight="1">
      <c r="A39" t="inlineStr">
        <is>
          <t>A 6446-2026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46236</v>
      </c>
      <c r="F39" t="inlineStr">
        <is>
          <t>SKÅNE LÄN</t>
        </is>
      </c>
      <c r="G39" t="inlineStr">
        <is>
          <t>KLIPPAN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HYPERLINK("https://klasma.github.io/Logging_1276/artfynd/A 6446-2026 artfynd.xlsx", "A 6446-2026")</f>
        <v/>
      </c>
      <c r="X39">
        <f>HYPERLINK("https://klasma.github.io/Logging_1276/kartor/A 6446-2026 karta.png", "A 6446-2026")</f>
        <v/>
      </c>
      <c r="Y39">
        <f>HYPERLINK("https://klasma.github.io/Logging_1276/kartor_geotiff/A 6446-2026 georefererad karta.tif", "A 6446-2026")</f>
        <v/>
      </c>
      <c r="AA39">
        <f>HYPERLINK("https://klasma.github.io/Logging_1276/klagomål/A 6446-2026 FSC-klagomål.docx", "A 6446-2026")</f>
        <v/>
      </c>
      <c r="AB39">
        <f>HYPERLINK("https://klasma.github.io/Logging_1276/klagomålsmail/A 6446-2026 FSC-klagomål mail.docx", "A 6446-2026")</f>
        <v/>
      </c>
      <c r="AC39">
        <f>HYPERLINK("https://klasma.github.io/Logging_1276/tillsyn/A 6446-2026 tillsynsbegäran.docx", "A 6446-2026")</f>
        <v/>
      </c>
      <c r="AD39">
        <f>HYPERLINK("https://klasma.github.io/Logging_1276/tillsynsmail/A 6446-2026 tillsynsbegäran mail.docx", "A 6446-2026")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46236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46236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46236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46236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46236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46236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46236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46236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46236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46236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46236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46236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46236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46236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46236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46236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46236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46236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46236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46236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46236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46236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46236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46236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46236</v>
      </c>
      <c r="F64" t="inlineStr">
        <is>
          <t>SKÅNE LÄN</t>
        </is>
      </c>
      <c r="G64" t="inlineStr">
        <is>
          <t>KLIPPAN</t>
        </is>
      </c>
      <c r="H64" t="inlineStr">
        <is>
          <t>Kommuner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45320</v>
      </c>
      <c r="E65" s="1" t="n">
        <v>46236</v>
      </c>
      <c r="F65" t="inlineStr">
        <is>
          <t>SKÅNE LÄN</t>
        </is>
      </c>
      <c r="G65" t="inlineStr">
        <is>
          <t>KLIPPAN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46236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46236</v>
      </c>
      <c r="F67" t="inlineStr">
        <is>
          <t>SKÅNE LÄN</t>
        </is>
      </c>
      <c r="G67" t="inlineStr">
        <is>
          <t>KLIPPAN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46236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40238-2021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44418</v>
      </c>
      <c r="E69" s="1" t="n">
        <v>46236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42284-2024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45562</v>
      </c>
      <c r="E70" s="1" t="n">
        <v>46236</v>
      </c>
      <c r="F70" t="inlineStr">
        <is>
          <t>SKÅNE LÄN</t>
        </is>
      </c>
      <c r="G70" t="inlineStr">
        <is>
          <t>KLIPPAN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54348-2022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46236</v>
      </c>
      <c r="F71" t="inlineStr">
        <is>
          <t>SKÅNE LÄN</t>
        </is>
      </c>
      <c r="G71" t="inlineStr">
        <is>
          <t>KLIPPAN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45641-2022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44845</v>
      </c>
      <c r="E72" s="1" t="n">
        <v>46236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46236</v>
      </c>
      <c r="F73" t="inlineStr">
        <is>
          <t>SKÅNE LÄN</t>
        </is>
      </c>
      <c r="G73" t="inlineStr">
        <is>
          <t>KLIPPAN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46236</v>
      </c>
      <c r="F74" t="inlineStr">
        <is>
          <t>SKÅNE LÄN</t>
        </is>
      </c>
      <c r="G74" t="inlineStr">
        <is>
          <t>KLIPPAN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46236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46236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46236</v>
      </c>
      <c r="F77" t="inlineStr">
        <is>
          <t>SKÅNE LÄN</t>
        </is>
      </c>
      <c r="G77" t="inlineStr">
        <is>
          <t>KLIPPAN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55586-2021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46236</v>
      </c>
      <c r="F78" t="inlineStr">
        <is>
          <t>SKÅNE LÄN</t>
        </is>
      </c>
      <c r="G78" t="inlineStr">
        <is>
          <t>KLIPPAN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46236</v>
      </c>
      <c r="F79" t="inlineStr">
        <is>
          <t>SKÅNE LÄN</t>
        </is>
      </c>
      <c r="G79" t="inlineStr">
        <is>
          <t>KLIPPAN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44988</v>
      </c>
      <c r="E80" s="1" t="n">
        <v>46236</v>
      </c>
      <c r="F80" t="inlineStr">
        <is>
          <t>SKÅNE LÄN</t>
        </is>
      </c>
      <c r="G80" t="inlineStr">
        <is>
          <t>KLIPPAN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46236</v>
      </c>
      <c r="F81" t="inlineStr">
        <is>
          <t>SKÅNE LÄN</t>
        </is>
      </c>
      <c r="G81" t="inlineStr">
        <is>
          <t>KLIPPAN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11335-2023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46236</v>
      </c>
      <c r="F82" t="inlineStr">
        <is>
          <t>SKÅNE LÄN</t>
        </is>
      </c>
      <c r="G82" t="inlineStr">
        <is>
          <t>KLIPPAN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45739</v>
      </c>
      <c r="E83" s="1" t="n">
        <v>46236</v>
      </c>
      <c r="F83" t="inlineStr">
        <is>
          <t>SKÅNE LÄN</t>
        </is>
      </c>
      <c r="G83" t="inlineStr">
        <is>
          <t>KLIPPAN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46236</v>
      </c>
      <c r="F84" t="inlineStr">
        <is>
          <t>SKÅNE LÄN</t>
        </is>
      </c>
      <c r="G84" t="inlineStr">
        <is>
          <t>KLIPPAN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46236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45519</v>
      </c>
      <c r="E86" s="1" t="n">
        <v>46236</v>
      </c>
      <c r="F86" t="inlineStr">
        <is>
          <t>SKÅNE LÄN</t>
        </is>
      </c>
      <c r="G86" t="inlineStr">
        <is>
          <t>KLIPPAN</t>
        </is>
      </c>
      <c r="H86" t="inlineStr">
        <is>
          <t>Sveaskog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46236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46236</v>
      </c>
      <c r="F88" t="inlineStr">
        <is>
          <t>SKÅNE LÄN</t>
        </is>
      </c>
      <c r="G88" t="inlineStr">
        <is>
          <t>KLIPPAN</t>
        </is>
      </c>
      <c r="H88" t="inlineStr">
        <is>
          <t>Kommuner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46236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46236</v>
      </c>
      <c r="F90" t="inlineStr">
        <is>
          <t>SKÅNE LÄN</t>
        </is>
      </c>
      <c r="G90" t="inlineStr">
        <is>
          <t>KLIPPAN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46236</v>
      </c>
      <c r="F91" t="inlineStr">
        <is>
          <t>SKÅNE LÄN</t>
        </is>
      </c>
      <c r="G91" t="inlineStr">
        <is>
          <t>KLIPPAN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55833-2023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45239</v>
      </c>
      <c r="E92" s="1" t="n">
        <v>46236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46236</v>
      </c>
      <c r="F93" t="inlineStr">
        <is>
          <t>SKÅNE LÄN</t>
        </is>
      </c>
      <c r="G93" t="inlineStr">
        <is>
          <t>KLIPPAN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46236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46236</v>
      </c>
      <c r="F95" t="inlineStr">
        <is>
          <t>SKÅNE LÄN</t>
        </is>
      </c>
      <c r="G95" t="inlineStr">
        <is>
          <t>KLIPPAN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44928</v>
      </c>
      <c r="E96" s="1" t="n">
        <v>46236</v>
      </c>
      <c r="F96" t="inlineStr">
        <is>
          <t>SKÅNE LÄN</t>
        </is>
      </c>
      <c r="G96" t="inlineStr">
        <is>
          <t>KLIPPAN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46236</v>
      </c>
      <c r="F97" t="inlineStr">
        <is>
          <t>SKÅNE LÄN</t>
        </is>
      </c>
      <c r="G97" t="inlineStr">
        <is>
          <t>KLIPPAN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45075</v>
      </c>
      <c r="E98" s="1" t="n">
        <v>46236</v>
      </c>
      <c r="F98" t="inlineStr">
        <is>
          <t>SKÅNE LÄN</t>
        </is>
      </c>
      <c r="G98" t="inlineStr">
        <is>
          <t>KLIPPAN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46236</v>
      </c>
      <c r="F99" t="inlineStr">
        <is>
          <t>SKÅNE LÄN</t>
        </is>
      </c>
      <c r="G99" t="inlineStr">
        <is>
          <t>KLIPPAN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46236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46236</v>
      </c>
      <c r="F101" t="inlineStr">
        <is>
          <t>SKÅNE LÄN</t>
        </is>
      </c>
      <c r="G101" t="inlineStr">
        <is>
          <t>KLIPPAN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46236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44838</v>
      </c>
      <c r="E103" s="1" t="n">
        <v>46236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44875</v>
      </c>
      <c r="E104" s="1" t="n">
        <v>46236</v>
      </c>
      <c r="F104" t="inlineStr">
        <is>
          <t>SKÅNE LÄN</t>
        </is>
      </c>
      <c r="G104" t="inlineStr">
        <is>
          <t>KLIPPAN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46236</v>
      </c>
      <c r="F105" t="inlineStr">
        <is>
          <t>SKÅNE LÄN</t>
        </is>
      </c>
      <c r="G105" t="inlineStr">
        <is>
          <t>KLIPPAN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45013</v>
      </c>
      <c r="E106" s="1" t="n">
        <v>46236</v>
      </c>
      <c r="F106" t="inlineStr">
        <is>
          <t>SKÅNE LÄN</t>
        </is>
      </c>
      <c r="G106" t="inlineStr">
        <is>
          <t>KLIPPAN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46236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46236</v>
      </c>
      <c r="F108" t="inlineStr">
        <is>
          <t>SKÅNE LÄN</t>
        </is>
      </c>
      <c r="G108" t="inlineStr">
        <is>
          <t>KLIPPAN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45055</v>
      </c>
      <c r="E109" s="1" t="n">
        <v>46236</v>
      </c>
      <c r="F109" t="inlineStr">
        <is>
          <t>SKÅNE LÄN</t>
        </is>
      </c>
      <c r="G109" t="inlineStr">
        <is>
          <t>KLIPPAN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46236</v>
      </c>
      <c r="F110" t="inlineStr">
        <is>
          <t>SKÅNE LÄN</t>
        </is>
      </c>
      <c r="G110" t="inlineStr">
        <is>
          <t>KLIPPAN</t>
        </is>
      </c>
      <c r="I110" t="n">
        <v>9.699999999999999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46236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46236</v>
      </c>
      <c r="F112" t="inlineStr">
        <is>
          <t>SKÅNE LÄN</t>
        </is>
      </c>
      <c r="G112" t="inlineStr">
        <is>
          <t>KLIPPAN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44977</v>
      </c>
      <c r="E113" s="1" t="n">
        <v>46236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45260</v>
      </c>
      <c r="E114" s="1" t="n">
        <v>46236</v>
      </c>
      <c r="F114" t="inlineStr">
        <is>
          <t>SKÅNE LÄN</t>
        </is>
      </c>
      <c r="G114" t="inlineStr">
        <is>
          <t>KLIPPAN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46236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46236</v>
      </c>
      <c r="F116" t="inlineStr">
        <is>
          <t>SKÅNE LÄN</t>
        </is>
      </c>
      <c r="G116" t="inlineStr">
        <is>
          <t>KLIPPAN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46236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46236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46236</v>
      </c>
      <c r="F119" t="inlineStr">
        <is>
          <t>SKÅNE LÄN</t>
        </is>
      </c>
      <c r="G119" t="inlineStr">
        <is>
          <t>KLIPPAN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46236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45055</v>
      </c>
      <c r="E121" s="1" t="n">
        <v>46236</v>
      </c>
      <c r="F121" t="inlineStr">
        <is>
          <t>SKÅNE LÄN</t>
        </is>
      </c>
      <c r="G121" t="inlineStr">
        <is>
          <t>KLIPPAN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46236</v>
      </c>
      <c r="F122" t="inlineStr">
        <is>
          <t>SKÅNE LÄN</t>
        </is>
      </c>
      <c r="G122" t="inlineStr">
        <is>
          <t>KLIPPAN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46236</v>
      </c>
      <c r="F123" t="inlineStr">
        <is>
          <t>SKÅNE LÄN</t>
        </is>
      </c>
      <c r="G123" t="inlineStr">
        <is>
          <t>KLIPPAN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46236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46236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21609-2026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46149</v>
      </c>
      <c r="E126" s="1" t="n">
        <v>46236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46236</v>
      </c>
      <c r="F127" t="inlineStr">
        <is>
          <t>SKÅNE LÄN</t>
        </is>
      </c>
      <c r="G127" t="inlineStr">
        <is>
          <t>KLIPPAN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46236</v>
      </c>
      <c r="F128" t="inlineStr">
        <is>
          <t>SKÅNE LÄN</t>
        </is>
      </c>
      <c r="G128" t="inlineStr">
        <is>
          <t>KLIPPAN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46149</v>
      </c>
      <c r="E129" s="1" t="n">
        <v>46236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46236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46236</v>
      </c>
      <c r="F131" t="inlineStr">
        <is>
          <t>SKÅNE LÄN</t>
        </is>
      </c>
      <c r="G131" t="inlineStr">
        <is>
          <t>KLIPPAN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46236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46236</v>
      </c>
      <c r="F133" t="inlineStr">
        <is>
          <t>SKÅNE LÄN</t>
        </is>
      </c>
      <c r="G133" t="inlineStr">
        <is>
          <t>KLIPPAN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46236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46236</v>
      </c>
      <c r="F135" t="inlineStr">
        <is>
          <t>SKÅNE LÄN</t>
        </is>
      </c>
      <c r="G135" t="inlineStr">
        <is>
          <t>KLIPPAN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46236</v>
      </c>
      <c r="F136" t="inlineStr">
        <is>
          <t>SKÅNE LÄN</t>
        </is>
      </c>
      <c r="G136" t="inlineStr">
        <is>
          <t>KLIPPAN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46236</v>
      </c>
      <c r="F137" t="inlineStr">
        <is>
          <t>SKÅNE LÄN</t>
        </is>
      </c>
      <c r="G137" t="inlineStr">
        <is>
          <t>KLIPPAN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45005</v>
      </c>
      <c r="E138" s="1" t="n">
        <v>46236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45013</v>
      </c>
      <c r="E139" s="1" t="n">
        <v>46236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46236</v>
      </c>
      <c r="F140" t="inlineStr">
        <is>
          <t>SKÅNE LÄN</t>
        </is>
      </c>
      <c r="G140" t="inlineStr">
        <is>
          <t>KLIPPAN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55587-2021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46236</v>
      </c>
      <c r="F141" t="inlineStr">
        <is>
          <t>SKÅNE LÄN</t>
        </is>
      </c>
      <c r="G141" t="inlineStr">
        <is>
          <t>KLIPPAN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46236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46202</v>
      </c>
      <c r="E143" s="1" t="n">
        <v>46236</v>
      </c>
      <c r="F143" t="inlineStr">
        <is>
          <t>SKÅNE LÄN</t>
        </is>
      </c>
      <c r="G143" t="inlineStr">
        <is>
          <t>KLIPPAN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46236</v>
      </c>
      <c r="F144" t="inlineStr">
        <is>
          <t>SKÅNE LÄN</t>
        </is>
      </c>
      <c r="G144" t="inlineStr">
        <is>
          <t>KLIPPAN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46236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46162</v>
      </c>
      <c r="E146" s="1" t="n">
        <v>46236</v>
      </c>
      <c r="F146" t="inlineStr">
        <is>
          <t>SKÅNE LÄN</t>
        </is>
      </c>
      <c r="G146" t="inlineStr">
        <is>
          <t>KLIPPAN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46236</v>
      </c>
      <c r="F147" t="inlineStr">
        <is>
          <t>SKÅNE LÄN</t>
        </is>
      </c>
      <c r="G147" t="inlineStr">
        <is>
          <t>KLIPPAN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46236</v>
      </c>
      <c r="F148" t="inlineStr">
        <is>
          <t>SKÅNE LÄN</t>
        </is>
      </c>
      <c r="G148" t="inlineStr">
        <is>
          <t>KLIPPAN</t>
        </is>
      </c>
      <c r="H148" t="inlineStr">
        <is>
          <t>Övriga Aktiebolag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69041-2021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44529</v>
      </c>
      <c r="E149" s="1" t="n">
        <v>46236</v>
      </c>
      <c r="F149" t="inlineStr">
        <is>
          <t>SKÅNE LÄN</t>
        </is>
      </c>
      <c r="G149" t="inlineStr">
        <is>
          <t>KLIPPAN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46236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46236</v>
      </c>
      <c r="F151" t="inlineStr">
        <is>
          <t>SKÅNE LÄN</t>
        </is>
      </c>
      <c r="G151" t="inlineStr">
        <is>
          <t>KLIPPAN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46236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46236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44930</v>
      </c>
      <c r="E154" s="1" t="n">
        <v>46236</v>
      </c>
      <c r="F154" t="inlineStr">
        <is>
          <t>SKÅNE LÄN</t>
        </is>
      </c>
      <c r="G154" t="inlineStr">
        <is>
          <t>KLIPPAN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46236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46236</v>
      </c>
      <c r="F156" t="inlineStr">
        <is>
          <t>SKÅNE LÄN</t>
        </is>
      </c>
      <c r="G156" t="inlineStr">
        <is>
          <t>KLIPPAN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44475</v>
      </c>
      <c r="E157" s="1" t="n">
        <v>46236</v>
      </c>
      <c r="F157" t="inlineStr">
        <is>
          <t>SKÅNE LÄN</t>
        </is>
      </c>
      <c r="G157" t="inlineStr">
        <is>
          <t>KLIPPAN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46236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45523</v>
      </c>
      <c r="E159" s="1" t="n">
        <v>46236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46236</v>
      </c>
      <c r="F160" t="inlineStr">
        <is>
          <t>SKÅNE LÄN</t>
        </is>
      </c>
      <c r="G160" t="inlineStr">
        <is>
          <t>KLIPPAN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46236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46209</v>
      </c>
      <c r="E162" s="1" t="n">
        <v>46236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46236</v>
      </c>
      <c r="F163" t="inlineStr">
        <is>
          <t>SKÅNE LÄN</t>
        </is>
      </c>
      <c r="G163" t="inlineStr">
        <is>
          <t>KLIPPAN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46236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46236</v>
      </c>
      <c r="F165" t="inlineStr">
        <is>
          <t>SKÅNE LÄN</t>
        </is>
      </c>
      <c r="G165" t="inlineStr">
        <is>
          <t>KLIPPAN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46236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45224</v>
      </c>
      <c r="E167" s="1" t="n">
        <v>46236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46216</v>
      </c>
      <c r="E168" s="1" t="n">
        <v>46236</v>
      </c>
      <c r="F168" t="inlineStr">
        <is>
          <t>SKÅNE LÄN</t>
        </is>
      </c>
      <c r="G168" t="inlineStr">
        <is>
          <t>KLIPPAN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46236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46236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46236</v>
      </c>
      <c r="F171" t="inlineStr">
        <is>
          <t>SKÅNE LÄN</t>
        </is>
      </c>
      <c r="G171" t="inlineStr">
        <is>
          <t>KLIPPAN</t>
        </is>
      </c>
      <c r="H171" t="inlineStr">
        <is>
          <t>Övriga Aktiebolag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45946</v>
      </c>
      <c r="E172" s="1" t="n">
        <v>46236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46236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46236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47967-2021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44448</v>
      </c>
      <c r="E175" s="1" t="n">
        <v>46236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45751</v>
      </c>
      <c r="E176" s="1" t="n">
        <v>46236</v>
      </c>
      <c r="F176" t="inlineStr">
        <is>
          <t>SKÅNE LÄN</t>
        </is>
      </c>
      <c r="G176" t="inlineStr">
        <is>
          <t>KLIPPAN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46236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58642-2021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46236</v>
      </c>
      <c r="F178" t="inlineStr">
        <is>
          <t>SKÅNE LÄN</t>
        </is>
      </c>
      <c r="G178" t="inlineStr">
        <is>
          <t>KLIPPAN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45275</v>
      </c>
      <c r="E179" s="1" t="n">
        <v>46236</v>
      </c>
      <c r="F179" t="inlineStr">
        <is>
          <t>SKÅNE LÄN</t>
        </is>
      </c>
      <c r="G179" t="inlineStr">
        <is>
          <t>KLIPPAN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23341-2026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46236</v>
      </c>
      <c r="F180" t="inlineStr">
        <is>
          <t>SKÅNE LÄN</t>
        </is>
      </c>
      <c r="G180" t="inlineStr">
        <is>
          <t>KLIPPAN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46168</v>
      </c>
      <c r="E181" s="1" t="n">
        <v>46236</v>
      </c>
      <c r="F181" t="inlineStr">
        <is>
          <t>SKÅNE LÄN</t>
        </is>
      </c>
      <c r="G181" t="inlineStr">
        <is>
          <t>KLIPPAN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46236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46236</v>
      </c>
      <c r="F183" t="inlineStr">
        <is>
          <t>SKÅNE LÄN</t>
        </is>
      </c>
      <c r="G183" t="inlineStr">
        <is>
          <t>KLIPPAN</t>
        </is>
      </c>
      <c r="H183" t="inlineStr">
        <is>
          <t>Övriga Aktiebolag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46236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46236</v>
      </c>
      <c r="F185" t="inlineStr">
        <is>
          <t>SKÅNE LÄN</t>
        </is>
      </c>
      <c r="G185" t="inlineStr">
        <is>
          <t>KLIPPAN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46236</v>
      </c>
      <c r="F186" t="inlineStr">
        <is>
          <t>SKÅNE LÄN</t>
        </is>
      </c>
      <c r="G186" t="inlineStr">
        <is>
          <t>KLIPPAN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46236</v>
      </c>
      <c r="F187" t="inlineStr">
        <is>
          <t>SKÅNE LÄN</t>
        </is>
      </c>
      <c r="G187" t="inlineStr">
        <is>
          <t>KLIPPAN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46236</v>
      </c>
      <c r="F188" t="inlineStr">
        <is>
          <t>SKÅNE LÄN</t>
        </is>
      </c>
      <c r="G188" t="inlineStr">
        <is>
          <t>KLIPPAN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46209</v>
      </c>
      <c r="E189" s="1" t="n">
        <v>46236</v>
      </c>
      <c r="F189" t="inlineStr">
        <is>
          <t>SKÅNE LÄN</t>
        </is>
      </c>
      <c r="G189" t="inlineStr">
        <is>
          <t>KLIPPAN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46236</v>
      </c>
      <c r="F190" t="inlineStr">
        <is>
          <t>SKÅNE LÄN</t>
        </is>
      </c>
      <c r="G190" t="inlineStr">
        <is>
          <t>KLIPPAN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46236</v>
      </c>
      <c r="F191" t="inlineStr">
        <is>
          <t>SKÅNE LÄN</t>
        </is>
      </c>
      <c r="G191" t="inlineStr">
        <is>
          <t>KLIPPAN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46236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46236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46236</v>
      </c>
      <c r="F194" t="inlineStr">
        <is>
          <t>SKÅNE LÄN</t>
        </is>
      </c>
      <c r="G194" t="inlineStr">
        <is>
          <t>KLIPPAN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46236</v>
      </c>
      <c r="F195" t="inlineStr">
        <is>
          <t>SKÅNE LÄN</t>
        </is>
      </c>
      <c r="G195" t="inlineStr">
        <is>
          <t>KLIPPAN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46236</v>
      </c>
      <c r="F196" t="inlineStr">
        <is>
          <t>SKÅNE LÄN</t>
        </is>
      </c>
      <c r="G196" t="inlineStr">
        <is>
          <t>KLIPPAN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46236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46236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46236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46236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46236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46236</v>
      </c>
      <c r="F202" t="inlineStr">
        <is>
          <t>SKÅNE LÄN</t>
        </is>
      </c>
      <c r="G202" t="inlineStr">
        <is>
          <t>KLIPPAN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45673</v>
      </c>
      <c r="E203" s="1" t="n">
        <v>46236</v>
      </c>
      <c r="F203" t="inlineStr">
        <is>
          <t>SKÅNE LÄN</t>
        </is>
      </c>
      <c r="G203" t="inlineStr">
        <is>
          <t>KLIPPAN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46236</v>
      </c>
      <c r="F204" t="inlineStr">
        <is>
          <t>SKÅNE LÄN</t>
        </is>
      </c>
      <c r="G204" t="inlineStr">
        <is>
          <t>KLIPPAN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44825</v>
      </c>
      <c r="E205" s="1" t="n">
        <v>46236</v>
      </c>
      <c r="F205" t="inlineStr">
        <is>
          <t>SKÅNE LÄN</t>
        </is>
      </c>
      <c r="G205" t="inlineStr">
        <is>
          <t>KLIPPAN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46223</v>
      </c>
      <c r="E206" s="1" t="n">
        <v>46236</v>
      </c>
      <c r="F206" t="inlineStr">
        <is>
          <t>SKÅNE LÄN</t>
        </is>
      </c>
      <c r="G206" t="inlineStr">
        <is>
          <t>KLIPPAN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44616</v>
      </c>
      <c r="E207" s="1" t="n">
        <v>46236</v>
      </c>
      <c r="F207" t="inlineStr">
        <is>
          <t>SKÅNE LÄN</t>
        </is>
      </c>
      <c r="G207" t="inlineStr">
        <is>
          <t>KLIPPAN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46236</v>
      </c>
      <c r="F208" t="inlineStr">
        <is>
          <t>SKÅNE LÄN</t>
        </is>
      </c>
      <c r="G208" t="inlineStr">
        <is>
          <t>KLIPPAN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46236</v>
      </c>
      <c r="F209" t="inlineStr">
        <is>
          <t>SKÅNE LÄN</t>
        </is>
      </c>
      <c r="G209" t="inlineStr">
        <is>
          <t>KLIPPAN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45199</v>
      </c>
      <c r="E210" s="1" t="n">
        <v>46236</v>
      </c>
      <c r="F210" t="inlineStr">
        <is>
          <t>SKÅNE LÄN</t>
        </is>
      </c>
      <c r="G210" t="inlineStr">
        <is>
          <t>KLIPPAN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53290-2025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45958</v>
      </c>
      <c r="E211" s="1" t="n">
        <v>46236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46236</v>
      </c>
      <c r="F212" t="inlineStr">
        <is>
          <t>SKÅNE LÄN</t>
        </is>
      </c>
      <c r="G212" t="inlineStr">
        <is>
          <t>KLIPPAN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46236</v>
      </c>
      <c r="F213" t="inlineStr">
        <is>
          <t>SKÅNE LÄN</t>
        </is>
      </c>
      <c r="G213" t="inlineStr">
        <is>
          <t>KLIPPAN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45104</v>
      </c>
      <c r="E214" s="1" t="n">
        <v>46236</v>
      </c>
      <c r="F214" t="inlineStr">
        <is>
          <t>SKÅNE LÄN</t>
        </is>
      </c>
      <c r="G214" t="inlineStr">
        <is>
          <t>KLIPPAN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44817</v>
      </c>
      <c r="E215" s="1" t="n">
        <v>46236</v>
      </c>
      <c r="F215" t="inlineStr">
        <is>
          <t>SKÅNE LÄN</t>
        </is>
      </c>
      <c r="G215" t="inlineStr">
        <is>
          <t>KLIPPAN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45404</v>
      </c>
      <c r="E216" s="1" t="n">
        <v>46236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46236</v>
      </c>
      <c r="F217" t="inlineStr">
        <is>
          <t>SKÅNE LÄN</t>
        </is>
      </c>
      <c r="G217" t="inlineStr">
        <is>
          <t>KLIPPAN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46236</v>
      </c>
      <c r="F218" t="inlineStr">
        <is>
          <t>SKÅNE LÄN</t>
        </is>
      </c>
      <c r="G218" t="inlineStr">
        <is>
          <t>KLIPPAN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46236</v>
      </c>
      <c r="F219" t="inlineStr">
        <is>
          <t>SKÅNE LÄN</t>
        </is>
      </c>
      <c r="G219" t="inlineStr">
        <is>
          <t>KLIPPAN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46236</v>
      </c>
      <c r="F220" t="inlineStr">
        <is>
          <t>SKÅNE LÄN</t>
        </is>
      </c>
      <c r="G220" t="inlineStr">
        <is>
          <t>KLIPPAN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46236</v>
      </c>
      <c r="F221" t="inlineStr">
        <is>
          <t>SKÅNE LÄN</t>
        </is>
      </c>
      <c r="G221" t="inlineStr">
        <is>
          <t>KLIPPAN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46236</v>
      </c>
      <c r="F222" t="inlineStr">
        <is>
          <t>SKÅNE LÄN</t>
        </is>
      </c>
      <c r="G222" t="inlineStr">
        <is>
          <t>KLIPPAN</t>
        </is>
      </c>
      <c r="I222" t="n">
        <v>17.2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46236</v>
      </c>
      <c r="F223" t="inlineStr">
        <is>
          <t>SKÅNE LÄN</t>
        </is>
      </c>
      <c r="G223" t="inlineStr">
        <is>
          <t>KLIPPAN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46236</v>
      </c>
      <c r="F224" t="inlineStr">
        <is>
          <t>SKÅNE LÄN</t>
        </is>
      </c>
      <c r="G224" t="inlineStr">
        <is>
          <t>KLIPPAN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45660</v>
      </c>
      <c r="E225" s="1" t="n">
        <v>46236</v>
      </c>
      <c r="F225" t="inlineStr">
        <is>
          <t>SKÅNE LÄN</t>
        </is>
      </c>
      <c r="G225" t="inlineStr">
        <is>
          <t>KLIPPAN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44420</v>
      </c>
      <c r="E226" s="1" t="n">
        <v>46236</v>
      </c>
      <c r="F226" t="inlineStr">
        <is>
          <t>SKÅNE LÄN</t>
        </is>
      </c>
      <c r="G226" t="inlineStr">
        <is>
          <t>KLIPPAN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45442</v>
      </c>
      <c r="E227" s="1" t="n">
        <v>46236</v>
      </c>
      <c r="F227" t="inlineStr">
        <is>
          <t>SKÅNE LÄN</t>
        </is>
      </c>
      <c r="G227" t="inlineStr">
        <is>
          <t>KLIPPAN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46728-2023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45198</v>
      </c>
      <c r="E228" s="1" t="n">
        <v>46236</v>
      </c>
      <c r="F228" t="inlineStr">
        <is>
          <t>SKÅNE LÄN</t>
        </is>
      </c>
      <c r="G228" t="inlineStr">
        <is>
          <t>KLIPPAN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45264</v>
      </c>
      <c r="E229" s="1" t="n">
        <v>46236</v>
      </c>
      <c r="F229" t="inlineStr">
        <is>
          <t>SKÅNE LÄN</t>
        </is>
      </c>
      <c r="G229" t="inlineStr">
        <is>
          <t>KLIPPAN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46236</v>
      </c>
      <c r="F230" t="inlineStr">
        <is>
          <t>SKÅNE LÄN</t>
        </is>
      </c>
      <c r="G230" t="inlineStr">
        <is>
          <t>KLIPPAN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46236</v>
      </c>
      <c r="F231" t="inlineStr">
        <is>
          <t>SKÅNE LÄN</t>
        </is>
      </c>
      <c r="G231" t="inlineStr">
        <is>
          <t>KLIPPAN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46236</v>
      </c>
      <c r="F232" t="inlineStr">
        <is>
          <t>SKÅNE LÄN</t>
        </is>
      </c>
      <c r="G232" t="inlineStr">
        <is>
          <t>KLIPPAN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46236</v>
      </c>
      <c r="F233" t="inlineStr">
        <is>
          <t>SKÅNE LÄN</t>
        </is>
      </c>
      <c r="G233" t="inlineStr">
        <is>
          <t>KLIPPAN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37068-2023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46236</v>
      </c>
      <c r="F234" t="inlineStr">
        <is>
          <t>SKÅNE LÄN</t>
        </is>
      </c>
      <c r="G234" t="inlineStr">
        <is>
          <t>KLIPPAN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46236</v>
      </c>
      <c r="F235" t="inlineStr">
        <is>
          <t>SKÅNE LÄN</t>
        </is>
      </c>
      <c r="G235" t="inlineStr">
        <is>
          <t>KLIPPAN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46236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46236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46236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45078</v>
      </c>
      <c r="E239" s="1" t="n">
        <v>46236</v>
      </c>
      <c r="F239" t="inlineStr">
        <is>
          <t>SKÅNE LÄN</t>
        </is>
      </c>
      <c r="G239" t="inlineStr">
        <is>
          <t>KLIPPAN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45163</v>
      </c>
      <c r="E240" s="1" t="n">
        <v>46236</v>
      </c>
      <c r="F240" t="inlineStr">
        <is>
          <t>SKÅNE LÄN</t>
        </is>
      </c>
      <c r="G240" t="inlineStr">
        <is>
          <t>KLIPPAN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46236</v>
      </c>
      <c r="F241" t="inlineStr">
        <is>
          <t>SKÅNE LÄN</t>
        </is>
      </c>
      <c r="G241" t="inlineStr">
        <is>
          <t>KLIPPAN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46236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45320</v>
      </c>
      <c r="E243" s="1" t="n">
        <v>46236</v>
      </c>
      <c r="F243" t="inlineStr">
        <is>
          <t>SKÅNE LÄN</t>
        </is>
      </c>
      <c r="G243" t="inlineStr">
        <is>
          <t>KLIPPAN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64224-2023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45279</v>
      </c>
      <c r="E244" s="1" t="n">
        <v>46236</v>
      </c>
      <c r="F244" t="inlineStr">
        <is>
          <t>SKÅNE LÄN</t>
        </is>
      </c>
      <c r="G244" t="inlineStr">
        <is>
          <t>KLIPPAN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45098</v>
      </c>
      <c r="E245" s="1" t="n">
        <v>46236</v>
      </c>
      <c r="F245" t="inlineStr">
        <is>
          <t>SKÅNE LÄN</t>
        </is>
      </c>
      <c r="G245" t="inlineStr">
        <is>
          <t>KLIPPAN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46236</v>
      </c>
      <c r="F246" t="inlineStr">
        <is>
          <t>SKÅNE LÄN</t>
        </is>
      </c>
      <c r="G246" t="inlineStr">
        <is>
          <t>KLIPPAN</t>
        </is>
      </c>
      <c r="H246" t="inlineStr">
        <is>
          <t>Övriga Aktiebolag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20002-2022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44697</v>
      </c>
      <c r="E247" s="1" t="n">
        <v>46236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46236</v>
      </c>
      <c r="F248" t="inlineStr">
        <is>
          <t>SKÅNE LÄN</t>
        </is>
      </c>
      <c r="G248" t="inlineStr">
        <is>
          <t>KLIPPAN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45212</v>
      </c>
      <c r="E249" s="1" t="n">
        <v>46236</v>
      </c>
      <c r="F249" t="inlineStr">
        <is>
          <t>SKÅNE LÄN</t>
        </is>
      </c>
      <c r="G249" t="inlineStr">
        <is>
          <t>KLIPPAN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46236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44880</v>
      </c>
      <c r="E251" s="1" t="n">
        <v>46236</v>
      </c>
      <c r="F251" t="inlineStr">
        <is>
          <t>SKÅNE LÄN</t>
        </is>
      </c>
      <c r="G251" t="inlineStr">
        <is>
          <t>KLIPPAN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44530</v>
      </c>
      <c r="E252" s="1" t="n">
        <v>46236</v>
      </c>
      <c r="F252" t="inlineStr">
        <is>
          <t>SKÅNE LÄN</t>
        </is>
      </c>
      <c r="G252" t="inlineStr">
        <is>
          <t>KLIPPAN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46236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45573</v>
      </c>
      <c r="E254" s="1" t="n">
        <v>46236</v>
      </c>
      <c r="F254" t="inlineStr">
        <is>
          <t>SKÅNE LÄN</t>
        </is>
      </c>
      <c r="G254" t="inlineStr">
        <is>
          <t>KLIPPAN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69394-2021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44531</v>
      </c>
      <c r="E255" s="1" t="n">
        <v>46236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46236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45721</v>
      </c>
      <c r="E257" s="1" t="n">
        <v>46236</v>
      </c>
      <c r="F257" t="inlineStr">
        <is>
          <t>SKÅNE LÄN</t>
        </is>
      </c>
      <c r="G257" t="inlineStr">
        <is>
          <t>KLIPPAN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46236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45094</v>
      </c>
      <c r="E259" s="1" t="n">
        <v>46236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29284-2025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45824</v>
      </c>
      <c r="E260" s="1" t="n">
        <v>46236</v>
      </c>
      <c r="F260" t="inlineStr">
        <is>
          <t>SKÅNE LÄN</t>
        </is>
      </c>
      <c r="G260" t="inlineStr">
        <is>
          <t>KLIPPAN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46236</v>
      </c>
      <c r="F261" t="inlineStr">
        <is>
          <t>SKÅNE LÄN</t>
        </is>
      </c>
      <c r="G261" t="inlineStr">
        <is>
          <t>KLIPPAN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45785</v>
      </c>
      <c r="E262" s="1" t="n">
        <v>46236</v>
      </c>
      <c r="F262" t="inlineStr">
        <is>
          <t>SKÅNE LÄN</t>
        </is>
      </c>
      <c r="G262" t="inlineStr">
        <is>
          <t>KLIPPAN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50357-2021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44455</v>
      </c>
      <c r="E263" s="1" t="n">
        <v>46236</v>
      </c>
      <c r="F263" t="inlineStr">
        <is>
          <t>SKÅNE LÄN</t>
        </is>
      </c>
      <c r="G263" t="inlineStr">
        <is>
          <t>KLIPPAN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46236</v>
      </c>
      <c r="F264" t="inlineStr">
        <is>
          <t>SKÅNE LÄN</t>
        </is>
      </c>
      <c r="G264" t="inlineStr">
        <is>
          <t>KLIPPAN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46236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46236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46236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46236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46236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46236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46236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46236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46236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46236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46236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46236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46236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46236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46236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46236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46236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46236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46236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46236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46236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46236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46236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46236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46236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46236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46236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2026-08-02T01:56:20Z</dcterms:created>
  <dcterms:modified xmlns:dcterms="http://purl.org/dc/terms/" xmlns:xsi="http://www.w3.org/2001/XMLSchema-instance" xsi:type="dcterms:W3CDTF">2026-08-02T01:56:21Z</dcterms:modified>
</cp:coreProperties>
</file>