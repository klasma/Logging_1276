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46281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46281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46281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46281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46281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46281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46281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46281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46281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46281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46281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46281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46281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46281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46281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46281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46281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46281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46281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46281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46281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46281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46281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46281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46281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46281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10000-2025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46281</v>
      </c>
      <c r="F33" t="inlineStr">
        <is>
          <t>SKÅNE LÄN</t>
        </is>
      </c>
      <c r="G33" t="inlineStr">
        <is>
          <t>KLIPPAN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Dvärghäxört</t>
        </is>
      </c>
      <c r="W33">
        <f>HYPERLINK("https://klasma.github.io/Logging_1276/artfynd/A 10000-2025 artfynd.xlsx", "A 10000-2025")</f>
        <v/>
      </c>
      <c r="X33">
        <f>HYPERLINK("https://klasma.github.io/Logging_1276/kartor/A 10000-2025 karta.png", "A 10000-2025")</f>
        <v/>
      </c>
      <c r="Y33">
        <f>HYPERLINK("https://klasma.github.io/Logging_1276/kartor_geotiff/A 10000-2025 georefererad karta.tif", "A 10000-2025")</f>
        <v/>
      </c>
      <c r="AA33">
        <f>HYPERLINK("https://klasma.github.io/Logging_1276/klagomål/A 10000-2025 FSC-klagomål.docx", "A 10000-2025")</f>
        <v/>
      </c>
      <c r="AB33">
        <f>HYPERLINK("https://klasma.github.io/Logging_1276/klagomålsmail/A 10000-2025 FSC-klagomål mail.docx", "A 10000-2025")</f>
        <v/>
      </c>
      <c r="AC33">
        <f>HYPERLINK("https://klasma.github.io/Logging_1276/tillsyn/A 10000-2025 tillsynsbegäran.docx", "A 10000-2025")</f>
        <v/>
      </c>
      <c r="AD33">
        <f>HYPERLINK("https://klasma.github.io/Logging_1276/tillsynsmail/A 10000-2025 tillsynsbegäran mail.docx", "A 10000-2025")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46281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46281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46281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46281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46281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46281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6446-2026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46281</v>
      </c>
      <c r="F40" t="inlineStr">
        <is>
          <t>SKÅNE LÄN</t>
        </is>
      </c>
      <c r="G40" t="inlineStr">
        <is>
          <t>KLIPPAN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HYPERLINK("https://klasma.github.io/Logging_1276/artfynd/A 6446-2026 artfynd.xlsx", "A 6446-2026")</f>
        <v/>
      </c>
      <c r="X40">
        <f>HYPERLINK("https://klasma.github.io/Logging_1276/kartor/A 6446-2026 karta.png", "A 6446-2026")</f>
        <v/>
      </c>
      <c r="Y40">
        <f>HYPERLINK("https://klasma.github.io/Logging_1276/kartor_geotiff/A 6446-2026 georefererad karta.tif", "A 6446-2026")</f>
        <v/>
      </c>
      <c r="AA40">
        <f>HYPERLINK("https://klasma.github.io/Logging_1276/klagomål/A 6446-2026 FSC-klagomål.docx", "A 6446-2026")</f>
        <v/>
      </c>
      <c r="AB40">
        <f>HYPERLINK("https://klasma.github.io/Logging_1276/klagomålsmail/A 6446-2026 FSC-klagomål mail.docx", "A 6446-2026")</f>
        <v/>
      </c>
      <c r="AC40">
        <f>HYPERLINK("https://klasma.github.io/Logging_1276/tillsyn/A 6446-2026 tillsynsbegäran.docx", "A 6446-2026")</f>
        <v/>
      </c>
      <c r="AD40">
        <f>HYPERLINK("https://klasma.github.io/Logging_1276/tillsynsmail/A 6446-2026 tillsynsbegäran mail.docx", "A 6446-2026")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46281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46281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2025-2022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44665</v>
      </c>
      <c r="E43" s="1" t="n">
        <v>46281</v>
      </c>
      <c r="F43" t="inlineStr">
        <is>
          <t>SKÅNE LÄN</t>
        </is>
      </c>
      <c r="G43" t="inlineStr">
        <is>
          <t>KLIPPAN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HYPERLINK("https://klasma.github.io/Logging_1276/artfynd/S 2025-2022 artfynd.xlsx", "S 2025-2022")</f>
        <v/>
      </c>
      <c r="X43">
        <f>HYPERLINK("https://klasma.github.io/Logging_1276/kartor/S 2025-2022 karta.png", "S 2025-2022")</f>
        <v/>
      </c>
      <c r="Y43">
        <f>HYPERLINK("https://klasma.github.io/Logging_1276/kartor_geotiff/S 2025-2022 georefererad karta.tif", "S 2025-2022")</f>
        <v/>
      </c>
      <c r="AA43">
        <f>HYPERLINK("https://klasma.github.io/Logging_1276/klagomål/S 2025-2022 FSC-klagomål.docx", "S 2025-2022")</f>
        <v/>
      </c>
      <c r="AB43">
        <f>HYPERLINK("https://klasma.github.io/Logging_1276/klagomålsmail/S 2025-2022 FSC-klagomål mail.docx", "S 2025-2022")</f>
        <v/>
      </c>
      <c r="AC43">
        <f>HYPERLINK("https://klasma.github.io/Logging_1276/tillsyn/S 2025-2022 tillsynsbegäran.docx", "S 2025-2022")</f>
        <v/>
      </c>
      <c r="AD43">
        <f>HYPERLINK("https://klasma.github.io/Logging_1276/tillsynsmail/S 2025-2022 tillsynsbegäran mail.docx", "S 2025-2022")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46281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46281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46281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44596</v>
      </c>
      <c r="E49" s="1" t="n">
        <v>46281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46281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46281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46281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46281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46281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46281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46281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46281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46281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46281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46281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46281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45072</v>
      </c>
      <c r="E62" s="1" t="n">
        <v>46281</v>
      </c>
      <c r="F62" t="inlineStr">
        <is>
          <t>SKÅNE LÄN</t>
        </is>
      </c>
      <c r="G62" t="inlineStr">
        <is>
          <t>KLIPPAN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46281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44722</v>
      </c>
      <c r="E64" s="1" t="n">
        <v>46281</v>
      </c>
      <c r="F64" t="inlineStr">
        <is>
          <t>SKÅNE LÄN</t>
        </is>
      </c>
      <c r="G64" t="inlineStr">
        <is>
          <t>KLIPPAN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46281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46281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45163</v>
      </c>
      <c r="E67" s="1" t="n">
        <v>46281</v>
      </c>
      <c r="F67" t="inlineStr">
        <is>
          <t>SKÅNE LÄN</t>
        </is>
      </c>
      <c r="G67" t="inlineStr">
        <is>
          <t>KLIPPAN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44679</v>
      </c>
      <c r="E68" s="1" t="n">
        <v>46281</v>
      </c>
      <c r="F68" t="inlineStr">
        <is>
          <t>SKÅNE LÄN</t>
        </is>
      </c>
      <c r="G68" t="inlineStr">
        <is>
          <t>KLIPPAN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46281</v>
      </c>
      <c r="F69" t="inlineStr">
        <is>
          <t>SKÅNE LÄN</t>
        </is>
      </c>
      <c r="G69" t="inlineStr">
        <is>
          <t>KLIPPAN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45324</v>
      </c>
      <c r="E70" s="1" t="n">
        <v>46281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44726</v>
      </c>
      <c r="E71" s="1" t="n">
        <v>46281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46281</v>
      </c>
      <c r="F72" t="inlineStr">
        <is>
          <t>SKÅNE LÄN</t>
        </is>
      </c>
      <c r="G72" t="inlineStr">
        <is>
          <t>KLIPPAN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46281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46281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46281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46281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46281</v>
      </c>
      <c r="F77" t="inlineStr">
        <is>
          <t>SKÅNE LÄN</t>
        </is>
      </c>
      <c r="G77" t="inlineStr">
        <is>
          <t>KLIPPAN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46281</v>
      </c>
      <c r="F78" t="inlineStr">
        <is>
          <t>SKÅNE LÄN</t>
        </is>
      </c>
      <c r="G78" t="inlineStr">
        <is>
          <t>KLIPPAN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46281</v>
      </c>
      <c r="F79" t="inlineStr">
        <is>
          <t>SKÅNE LÄN</t>
        </is>
      </c>
      <c r="G79" t="inlineStr">
        <is>
          <t>KLIPPAN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55833-2023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45239</v>
      </c>
      <c r="E80" s="1" t="n">
        <v>46281</v>
      </c>
      <c r="F80" t="inlineStr">
        <is>
          <t>SKÅNE LÄN</t>
        </is>
      </c>
      <c r="G80" t="inlineStr">
        <is>
          <t>KLIPPAN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46281</v>
      </c>
      <c r="F81" t="inlineStr">
        <is>
          <t>SKÅNE LÄN</t>
        </is>
      </c>
      <c r="G81" t="inlineStr">
        <is>
          <t>KLIPPAN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46281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46281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46281</v>
      </c>
      <c r="F84" t="inlineStr">
        <is>
          <t>SKÅNE LÄN</t>
        </is>
      </c>
      <c r="G84" t="inlineStr">
        <is>
          <t>KLIPPAN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46281</v>
      </c>
      <c r="F85" t="inlineStr">
        <is>
          <t>SKÅNE LÄN</t>
        </is>
      </c>
      <c r="G85" t="inlineStr">
        <is>
          <t>KLIPPAN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46281</v>
      </c>
      <c r="F86" t="inlineStr">
        <is>
          <t>SKÅNE LÄN</t>
        </is>
      </c>
      <c r="G86" t="inlineStr">
        <is>
          <t>KLIPPAN</t>
        </is>
      </c>
      <c r="I86" t="n">
        <v>20.9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23260-2023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45075</v>
      </c>
      <c r="E87" s="1" t="n">
        <v>46281</v>
      </c>
      <c r="F87" t="inlineStr">
        <is>
          <t>SKÅNE LÄN</t>
        </is>
      </c>
      <c r="G87" t="inlineStr">
        <is>
          <t>KLIPPAN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46281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45163</v>
      </c>
      <c r="E89" s="1" t="n">
        <v>46281</v>
      </c>
      <c r="F89" t="inlineStr">
        <is>
          <t>SKÅNE LÄN</t>
        </is>
      </c>
      <c r="G89" t="inlineStr">
        <is>
          <t>KLIPPAN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46281</v>
      </c>
      <c r="F90" t="inlineStr">
        <is>
          <t>SKÅNE LÄN</t>
        </is>
      </c>
      <c r="G90" t="inlineStr">
        <is>
          <t>KLIPPAN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46281</v>
      </c>
      <c r="F91" t="inlineStr">
        <is>
          <t>SKÅNE LÄN</t>
        </is>
      </c>
      <c r="G91" t="inlineStr">
        <is>
          <t>KLIPPAN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46281</v>
      </c>
      <c r="F92" t="inlineStr">
        <is>
          <t>SKÅNE LÄN</t>
        </is>
      </c>
      <c r="G92" t="inlineStr">
        <is>
          <t>KLIPPAN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64224-2023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45279</v>
      </c>
      <c r="E93" s="1" t="n">
        <v>46281</v>
      </c>
      <c r="F93" t="inlineStr">
        <is>
          <t>SKÅNE LÄN</t>
        </is>
      </c>
      <c r="G93" t="inlineStr">
        <is>
          <t>KLIPPAN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46281</v>
      </c>
      <c r="F94" t="inlineStr">
        <is>
          <t>SKÅNE LÄN</t>
        </is>
      </c>
      <c r="G94" t="inlineStr">
        <is>
          <t>KLIPPAN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27813-2023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45098</v>
      </c>
      <c r="E95" s="1" t="n">
        <v>46281</v>
      </c>
      <c r="F95" t="inlineStr">
        <is>
          <t>SKÅNE LÄN</t>
        </is>
      </c>
      <c r="G95" t="inlineStr">
        <is>
          <t>KLIPPAN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46281</v>
      </c>
      <c r="F96" t="inlineStr">
        <is>
          <t>SKÅNE LÄN</t>
        </is>
      </c>
      <c r="G96" t="inlineStr">
        <is>
          <t>KLIPPAN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45641-2022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44845</v>
      </c>
      <c r="E97" s="1" t="n">
        <v>46281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46281</v>
      </c>
      <c r="F98" t="inlineStr">
        <is>
          <t>SKÅNE LÄN</t>
        </is>
      </c>
      <c r="G98" t="inlineStr">
        <is>
          <t>KLIPPAN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55586-2021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44475</v>
      </c>
      <c r="E99" s="1" t="n">
        <v>46281</v>
      </c>
      <c r="F99" t="inlineStr">
        <is>
          <t>SKÅNE LÄN</t>
        </is>
      </c>
      <c r="G99" t="inlineStr">
        <is>
          <t>KLIPPAN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44838</v>
      </c>
      <c r="E100" s="1" t="n">
        <v>46281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46281</v>
      </c>
      <c r="F101" t="inlineStr">
        <is>
          <t>SKÅNE LÄN</t>
        </is>
      </c>
      <c r="G101" t="inlineStr">
        <is>
          <t>KLIPPAN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46281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46281</v>
      </c>
      <c r="F103" t="inlineStr">
        <is>
          <t>SKÅNE LÄN</t>
        </is>
      </c>
      <c r="G103" t="inlineStr">
        <is>
          <t>KLIPPAN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45739</v>
      </c>
      <c r="E104" s="1" t="n">
        <v>46281</v>
      </c>
      <c r="F104" t="inlineStr">
        <is>
          <t>SKÅNE LÄN</t>
        </is>
      </c>
      <c r="G104" t="inlineStr">
        <is>
          <t>KLIPPAN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45519</v>
      </c>
      <c r="E105" s="1" t="n">
        <v>46281</v>
      </c>
      <c r="F105" t="inlineStr">
        <is>
          <t>SKÅNE LÄN</t>
        </is>
      </c>
      <c r="G105" t="inlineStr">
        <is>
          <t>KLIPPAN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44697</v>
      </c>
      <c r="E106" s="1" t="n">
        <v>46281</v>
      </c>
      <c r="F106" t="inlineStr">
        <is>
          <t>SKÅNE LÄN</t>
        </is>
      </c>
      <c r="G106" t="inlineStr">
        <is>
          <t>KLIPPAN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46281</v>
      </c>
      <c r="F107" t="inlineStr">
        <is>
          <t>SKÅNE LÄN</t>
        </is>
      </c>
      <c r="G107" t="inlineStr">
        <is>
          <t>KLIPPAN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44901</v>
      </c>
      <c r="E108" s="1" t="n">
        <v>46281</v>
      </c>
      <c r="F108" t="inlineStr">
        <is>
          <t>SKÅNE LÄN</t>
        </is>
      </c>
      <c r="G108" t="inlineStr">
        <is>
          <t>KLIPPAN</t>
        </is>
      </c>
      <c r="H108" t="inlineStr">
        <is>
          <t>Kommuner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46281</v>
      </c>
      <c r="F109" t="inlineStr">
        <is>
          <t>SKÅNE LÄN</t>
        </is>
      </c>
      <c r="G109" t="inlineStr">
        <is>
          <t>KLIPPAN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46281</v>
      </c>
      <c r="F110" t="inlineStr">
        <is>
          <t>SKÅNE LÄN</t>
        </is>
      </c>
      <c r="G110" t="inlineStr">
        <is>
          <t>KLIPPAN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46281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46281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45474</v>
      </c>
      <c r="E113" s="1" t="n">
        <v>46281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46281</v>
      </c>
      <c r="F114" t="inlineStr">
        <is>
          <t>SKÅNE LÄN</t>
        </is>
      </c>
      <c r="G114" t="inlineStr">
        <is>
          <t>KLIPPAN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46281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68856-2021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44530</v>
      </c>
      <c r="E116" s="1" t="n">
        <v>46281</v>
      </c>
      <c r="F116" t="inlineStr">
        <is>
          <t>SKÅNE LÄN</t>
        </is>
      </c>
      <c r="G116" t="inlineStr">
        <is>
          <t>KLIPPAN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45013</v>
      </c>
      <c r="E117" s="1" t="n">
        <v>46281</v>
      </c>
      <c r="F117" t="inlineStr">
        <is>
          <t>SKÅNE LÄN</t>
        </is>
      </c>
      <c r="G117" t="inlineStr">
        <is>
          <t>KLIPPAN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46281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46281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46281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46281</v>
      </c>
      <c r="F121" t="inlineStr">
        <is>
          <t>SKÅNE LÄN</t>
        </is>
      </c>
      <c r="G121" t="inlineStr">
        <is>
          <t>KLIPPAN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46281</v>
      </c>
      <c r="F122" t="inlineStr">
        <is>
          <t>SKÅNE LÄN</t>
        </is>
      </c>
      <c r="G122" t="inlineStr">
        <is>
          <t>KLIPPAN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46281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46281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46281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46281</v>
      </c>
      <c r="F126" t="inlineStr">
        <is>
          <t>SKÅNE LÄN</t>
        </is>
      </c>
      <c r="G126" t="inlineStr">
        <is>
          <t>KLIPPAN</t>
        </is>
      </c>
      <c r="H126" t="inlineStr">
        <is>
          <t>Övriga Aktiebolag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46281</v>
      </c>
      <c r="F127" t="inlineStr">
        <is>
          <t>SKÅNE LÄN</t>
        </is>
      </c>
      <c r="G127" t="inlineStr">
        <is>
          <t>KLIPPAN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46281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46281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46281</v>
      </c>
      <c r="F130" t="inlineStr">
        <is>
          <t>SKÅNE LÄN</t>
        </is>
      </c>
      <c r="G130" t="inlineStr">
        <is>
          <t>KLIPPAN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46281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44593</v>
      </c>
      <c r="E132" s="1" t="n">
        <v>46281</v>
      </c>
      <c r="F132" t="inlineStr">
        <is>
          <t>SKÅNE LÄN</t>
        </is>
      </c>
      <c r="G132" t="inlineStr">
        <is>
          <t>KLIPPAN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46281</v>
      </c>
      <c r="F133" t="inlineStr">
        <is>
          <t>SKÅNE LÄN</t>
        </is>
      </c>
      <c r="G133" t="inlineStr">
        <is>
          <t>KLIPPAN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45055</v>
      </c>
      <c r="E134" s="1" t="n">
        <v>46281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46281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46281</v>
      </c>
      <c r="F136" t="inlineStr">
        <is>
          <t>SKÅNE LÄN</t>
        </is>
      </c>
      <c r="G136" t="inlineStr">
        <is>
          <t>KLIPPAN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46281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46281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46281</v>
      </c>
      <c r="F139" t="inlineStr">
        <is>
          <t>SKÅNE LÄN</t>
        </is>
      </c>
      <c r="G139" t="inlineStr">
        <is>
          <t>KLIPPAN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46281</v>
      </c>
      <c r="F140" t="inlineStr">
        <is>
          <t>SKÅNE LÄN</t>
        </is>
      </c>
      <c r="G140" t="inlineStr">
        <is>
          <t>KLIPPAN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46281</v>
      </c>
      <c r="F141" t="inlineStr">
        <is>
          <t>SKÅNE LÄN</t>
        </is>
      </c>
      <c r="G141" t="inlineStr">
        <is>
          <t>KLIPPAN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46619-2024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46281</v>
      </c>
      <c r="F142" t="inlineStr">
        <is>
          <t>SKÅNE LÄN</t>
        </is>
      </c>
      <c r="G142" t="inlineStr">
        <is>
          <t>KLIPPAN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46281</v>
      </c>
      <c r="F143" t="inlineStr">
        <is>
          <t>SKÅNE LÄN</t>
        </is>
      </c>
      <c r="G143" t="inlineStr">
        <is>
          <t>KLIPPAN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46281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46281</v>
      </c>
      <c r="F145" t="inlineStr">
        <is>
          <t>SKÅNE LÄN</t>
        </is>
      </c>
      <c r="G145" t="inlineStr">
        <is>
          <t>KLIPPAN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45013</v>
      </c>
      <c r="E146" s="1" t="n">
        <v>46281</v>
      </c>
      <c r="F146" t="inlineStr">
        <is>
          <t>SKÅNE LÄN</t>
        </is>
      </c>
      <c r="G146" t="inlineStr">
        <is>
          <t>KLIPPAN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46281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46150</v>
      </c>
      <c r="E148" s="1" t="n">
        <v>46281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46281</v>
      </c>
      <c r="F149" t="inlineStr">
        <is>
          <t>SKÅNE LÄN</t>
        </is>
      </c>
      <c r="G149" t="inlineStr">
        <is>
          <t>KLIPPAN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46281</v>
      </c>
      <c r="F150" t="inlineStr">
        <is>
          <t>SKÅNE LÄN</t>
        </is>
      </c>
      <c r="G150" t="inlineStr">
        <is>
          <t>KLIPPAN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46281</v>
      </c>
      <c r="F151" t="inlineStr">
        <is>
          <t>SKÅNE LÄN</t>
        </is>
      </c>
      <c r="G151" t="inlineStr">
        <is>
          <t>KLIPPAN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46281</v>
      </c>
      <c r="F152" t="inlineStr">
        <is>
          <t>SKÅNE LÄN</t>
        </is>
      </c>
      <c r="G152" t="inlineStr">
        <is>
          <t>KLIPPAN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46281</v>
      </c>
      <c r="F153" t="inlineStr">
        <is>
          <t>SKÅNE LÄN</t>
        </is>
      </c>
      <c r="G153" t="inlineStr">
        <is>
          <t>KLIPPAN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46281</v>
      </c>
      <c r="F154" t="inlineStr">
        <is>
          <t>SKÅNE LÄN</t>
        </is>
      </c>
      <c r="G154" t="inlineStr">
        <is>
          <t>KLIPPAN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46281</v>
      </c>
      <c r="F155" t="inlineStr">
        <is>
          <t>SKÅNE LÄN</t>
        </is>
      </c>
      <c r="G155" t="inlineStr">
        <is>
          <t>KLIPPAN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46281</v>
      </c>
      <c r="F156" t="inlineStr">
        <is>
          <t>SKÅNE LÄN</t>
        </is>
      </c>
      <c r="G156" t="inlineStr">
        <is>
          <t>KLIPPAN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55587-2021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46281</v>
      </c>
      <c r="F157" t="inlineStr">
        <is>
          <t>SKÅNE LÄN</t>
        </is>
      </c>
      <c r="G157" t="inlineStr">
        <is>
          <t>KLIPPAN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46281</v>
      </c>
      <c r="F158" t="inlineStr">
        <is>
          <t>SKÅNE LÄN</t>
        </is>
      </c>
      <c r="G158" t="inlineStr">
        <is>
          <t>KLIPPAN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46281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46281</v>
      </c>
      <c r="F160" t="inlineStr">
        <is>
          <t>SKÅNE LÄN</t>
        </is>
      </c>
      <c r="G160" t="inlineStr">
        <is>
          <t>KLIPPAN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46281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46281</v>
      </c>
      <c r="F162" t="inlineStr">
        <is>
          <t>SKÅNE LÄN</t>
        </is>
      </c>
      <c r="G162" t="inlineStr">
        <is>
          <t>KLIPPAN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69041-2021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44529</v>
      </c>
      <c r="E163" s="1" t="n">
        <v>46281</v>
      </c>
      <c r="F163" t="inlineStr">
        <is>
          <t>SKÅNE LÄN</t>
        </is>
      </c>
      <c r="G163" t="inlineStr">
        <is>
          <t>KLIPPAN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46281</v>
      </c>
      <c r="F164" t="inlineStr">
        <is>
          <t>SKÅNE LÄN</t>
        </is>
      </c>
      <c r="G164" t="inlineStr">
        <is>
          <t>KLIPPAN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45079</v>
      </c>
      <c r="E165" s="1" t="n">
        <v>46281</v>
      </c>
      <c r="F165" t="inlineStr">
        <is>
          <t>SKÅNE LÄN</t>
        </is>
      </c>
      <c r="G165" t="inlineStr">
        <is>
          <t>KLIPPAN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44978</v>
      </c>
      <c r="E166" s="1" t="n">
        <v>46281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46281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46281</v>
      </c>
      <c r="F168" t="inlineStr">
        <is>
          <t>SKÅNE LÄN</t>
        </is>
      </c>
      <c r="G168" t="inlineStr">
        <is>
          <t>KLIPPAN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44930</v>
      </c>
      <c r="E169" s="1" t="n">
        <v>46281</v>
      </c>
      <c r="F169" t="inlineStr">
        <is>
          <t>SKÅNE LÄN</t>
        </is>
      </c>
      <c r="G169" t="inlineStr">
        <is>
          <t>KLIPPAN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46281</v>
      </c>
      <c r="F170" t="inlineStr">
        <is>
          <t>SKÅNE LÄN</t>
        </is>
      </c>
      <c r="G170" t="inlineStr">
        <is>
          <t>KLIPPAN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46281</v>
      </c>
      <c r="F171" t="inlineStr">
        <is>
          <t>SKÅNE LÄN</t>
        </is>
      </c>
      <c r="G171" t="inlineStr">
        <is>
          <t>KLIPPAN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46281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46281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46281</v>
      </c>
      <c r="F174" t="inlineStr">
        <is>
          <t>SKÅNE LÄN</t>
        </is>
      </c>
      <c r="G174" t="inlineStr">
        <is>
          <t>KLIPPAN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46281</v>
      </c>
      <c r="F175" t="inlineStr">
        <is>
          <t>SKÅNE LÄN</t>
        </is>
      </c>
      <c r="G175" t="inlineStr">
        <is>
          <t>KLIPPAN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46281</v>
      </c>
      <c r="F176" t="inlineStr">
        <is>
          <t>SKÅNE LÄN</t>
        </is>
      </c>
      <c r="G176" t="inlineStr">
        <is>
          <t>KLIPPAN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46281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44944</v>
      </c>
      <c r="E178" s="1" t="n">
        <v>46281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45104</v>
      </c>
      <c r="E179" s="1" t="n">
        <v>46281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46281</v>
      </c>
      <c r="F180" t="inlineStr">
        <is>
          <t>SKÅNE LÄN</t>
        </is>
      </c>
      <c r="G180" t="inlineStr">
        <is>
          <t>KLIPPAN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46281</v>
      </c>
      <c r="F181" t="inlineStr">
        <is>
          <t>SKÅNE LÄN</t>
        </is>
      </c>
      <c r="G181" t="inlineStr">
        <is>
          <t>KLIPPAN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46281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46281</v>
      </c>
      <c r="F183" t="inlineStr">
        <is>
          <t>SKÅNE LÄN</t>
        </is>
      </c>
      <c r="G183" t="inlineStr">
        <is>
          <t>KLIPPAN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46281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46281</v>
      </c>
      <c r="F185" t="inlineStr">
        <is>
          <t>SKÅNE LÄN</t>
        </is>
      </c>
      <c r="G185" t="inlineStr">
        <is>
          <t>KLIPPAN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46281</v>
      </c>
      <c r="F186" t="inlineStr">
        <is>
          <t>SKÅNE LÄN</t>
        </is>
      </c>
      <c r="G186" t="inlineStr">
        <is>
          <t>KLIPPAN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46281</v>
      </c>
      <c r="F187" t="inlineStr">
        <is>
          <t>SKÅNE LÄN</t>
        </is>
      </c>
      <c r="G187" t="inlineStr">
        <is>
          <t>KLIPPAN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46281</v>
      </c>
      <c r="F188" t="inlineStr">
        <is>
          <t>SKÅNE LÄN</t>
        </is>
      </c>
      <c r="G188" t="inlineStr">
        <is>
          <t>KLIPPAN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46281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44992</v>
      </c>
      <c r="E190" s="1" t="n">
        <v>46281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46281</v>
      </c>
      <c r="F191" t="inlineStr">
        <is>
          <t>SKÅNE LÄN</t>
        </is>
      </c>
      <c r="G191" t="inlineStr">
        <is>
          <t>KLIPPAN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46281</v>
      </c>
      <c r="F192" t="inlineStr">
        <is>
          <t>SKÅNE LÄN</t>
        </is>
      </c>
      <c r="G192" t="inlineStr">
        <is>
          <t>KLIPPAN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46281</v>
      </c>
      <c r="F193" t="inlineStr">
        <is>
          <t>SKÅNE LÄN</t>
        </is>
      </c>
      <c r="G193" t="inlineStr">
        <is>
          <t>KLIPPAN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46281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46281</v>
      </c>
      <c r="F195" t="inlineStr">
        <is>
          <t>SKÅNE LÄN</t>
        </is>
      </c>
      <c r="G195" t="inlineStr">
        <is>
          <t>KLIPPAN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46281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11.6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46281</v>
      </c>
      <c r="F197" t="inlineStr">
        <is>
          <t>SKÅNE LÄN</t>
        </is>
      </c>
      <c r="G197" t="inlineStr">
        <is>
          <t>KLIPPAN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46281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45523</v>
      </c>
      <c r="E199" s="1" t="n">
        <v>46281</v>
      </c>
      <c r="F199" t="inlineStr">
        <is>
          <t>SKÅNE LÄN</t>
        </is>
      </c>
      <c r="G199" t="inlineStr">
        <is>
          <t>KLIPPAN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45673</v>
      </c>
      <c r="E200" s="1" t="n">
        <v>46281</v>
      </c>
      <c r="F200" t="inlineStr">
        <is>
          <t>SKÅNE LÄN</t>
        </is>
      </c>
      <c r="G200" t="inlineStr">
        <is>
          <t>KLIPPAN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46281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46281</v>
      </c>
      <c r="F202" t="inlineStr">
        <is>
          <t>SKÅNE LÄN</t>
        </is>
      </c>
      <c r="G202" t="inlineStr">
        <is>
          <t>KLIPPAN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44825</v>
      </c>
      <c r="E203" s="1" t="n">
        <v>46281</v>
      </c>
      <c r="F203" t="inlineStr">
        <is>
          <t>SKÅNE LÄN</t>
        </is>
      </c>
      <c r="G203" t="inlineStr">
        <is>
          <t>KLIPPAN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46281</v>
      </c>
      <c r="F204" t="inlineStr">
        <is>
          <t>SKÅNE LÄN</t>
        </is>
      </c>
      <c r="G204" t="inlineStr">
        <is>
          <t>KLIPPAN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46245</v>
      </c>
      <c r="E205" s="1" t="n">
        <v>46281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46281</v>
      </c>
      <c r="F206" t="inlineStr">
        <is>
          <t>SKÅNE LÄN</t>
        </is>
      </c>
      <c r="G206" t="inlineStr">
        <is>
          <t>KLIPPAN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45223</v>
      </c>
      <c r="E207" s="1" t="n">
        <v>46281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46281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45199</v>
      </c>
      <c r="E209" s="1" t="n">
        <v>46281</v>
      </c>
      <c r="F209" t="inlineStr">
        <is>
          <t>SKÅNE LÄN</t>
        </is>
      </c>
      <c r="G209" t="inlineStr">
        <is>
          <t>KLIPPAN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46281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46209</v>
      </c>
      <c r="E211" s="1" t="n">
        <v>46281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46281</v>
      </c>
      <c r="F212" t="inlineStr">
        <is>
          <t>SKÅNE LÄN</t>
        </is>
      </c>
      <c r="G212" t="inlineStr">
        <is>
          <t>KLIPPAN</t>
        </is>
      </c>
      <c r="H212" t="inlineStr">
        <is>
          <t>Övriga Aktiebolag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46281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46281</v>
      </c>
      <c r="F214" t="inlineStr">
        <is>
          <t>SKÅNE LÄN</t>
        </is>
      </c>
      <c r="G214" t="inlineStr">
        <is>
          <t>KLIPPAN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46281</v>
      </c>
      <c r="F215" t="inlineStr">
        <is>
          <t>SKÅNE LÄN</t>
        </is>
      </c>
      <c r="G215" t="inlineStr">
        <is>
          <t>KLIPPAN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46281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46281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46281</v>
      </c>
      <c r="F218" t="inlineStr">
        <is>
          <t>SKÅNE LÄN</t>
        </is>
      </c>
      <c r="G218" t="inlineStr">
        <is>
          <t>KLIPPAN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46281</v>
      </c>
      <c r="F219" t="inlineStr">
        <is>
          <t>SKÅNE LÄN</t>
        </is>
      </c>
      <c r="G219" t="inlineStr">
        <is>
          <t>KLIPPAN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46281</v>
      </c>
      <c r="F220" t="inlineStr">
        <is>
          <t>SKÅNE LÄN</t>
        </is>
      </c>
      <c r="G220" t="inlineStr">
        <is>
          <t>KLIPPAN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44659</v>
      </c>
      <c r="E221" s="1" t="n">
        <v>46281</v>
      </c>
      <c r="F221" t="inlineStr">
        <is>
          <t>SKÅNE LÄN</t>
        </is>
      </c>
      <c r="G221" t="inlineStr">
        <is>
          <t>KLIPPAN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46281</v>
      </c>
      <c r="F222" t="inlineStr">
        <is>
          <t>SKÅNE LÄN</t>
        </is>
      </c>
      <c r="G222" t="inlineStr">
        <is>
          <t>KLIPPAN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46281</v>
      </c>
      <c r="F223" t="inlineStr">
        <is>
          <t>SKÅNE LÄN</t>
        </is>
      </c>
      <c r="G223" t="inlineStr">
        <is>
          <t>KLIPPAN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46216</v>
      </c>
      <c r="E224" s="1" t="n">
        <v>46281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46281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46216</v>
      </c>
      <c r="E226" s="1" t="n">
        <v>46281</v>
      </c>
      <c r="F226" t="inlineStr">
        <is>
          <t>SKÅNE LÄN</t>
        </is>
      </c>
      <c r="G226" t="inlineStr">
        <is>
          <t>KLIPPAN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44697</v>
      </c>
      <c r="E227" s="1" t="n">
        <v>46281</v>
      </c>
      <c r="F227" t="inlineStr">
        <is>
          <t>SKÅNE LÄN</t>
        </is>
      </c>
      <c r="G227" t="inlineStr">
        <is>
          <t>KLIPPAN</t>
        </is>
      </c>
      <c r="I227" t="n">
        <v>17.2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46281</v>
      </c>
      <c r="F228" t="inlineStr">
        <is>
          <t>SKÅNE LÄN</t>
        </is>
      </c>
      <c r="G228" t="inlineStr">
        <is>
          <t>KLIPPAN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46281</v>
      </c>
      <c r="F229" t="inlineStr">
        <is>
          <t>SKÅNE LÄN</t>
        </is>
      </c>
      <c r="G229" t="inlineStr">
        <is>
          <t>KLIPPAN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46198</v>
      </c>
      <c r="E230" s="1" t="n">
        <v>46281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46281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45660</v>
      </c>
      <c r="E232" s="1" t="n">
        <v>46281</v>
      </c>
      <c r="F232" t="inlineStr">
        <is>
          <t>SKÅNE LÄN</t>
        </is>
      </c>
      <c r="G232" t="inlineStr">
        <is>
          <t>KLIPPAN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45442</v>
      </c>
      <c r="E233" s="1" t="n">
        <v>46281</v>
      </c>
      <c r="F233" t="inlineStr">
        <is>
          <t>SKÅNE LÄN</t>
        </is>
      </c>
      <c r="G233" t="inlineStr">
        <is>
          <t>KLIPPAN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45751</v>
      </c>
      <c r="E234" s="1" t="n">
        <v>46281</v>
      </c>
      <c r="F234" t="inlineStr">
        <is>
          <t>SKÅNE LÄN</t>
        </is>
      </c>
      <c r="G234" t="inlineStr">
        <is>
          <t>KLIPPAN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46728-2023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45198</v>
      </c>
      <c r="E235" s="1" t="n">
        <v>46281</v>
      </c>
      <c r="F235" t="inlineStr">
        <is>
          <t>SKÅNE LÄN</t>
        </is>
      </c>
      <c r="G235" t="inlineStr">
        <is>
          <t>KLIPPAN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45739</v>
      </c>
      <c r="E236" s="1" t="n">
        <v>46281</v>
      </c>
      <c r="F236" t="inlineStr">
        <is>
          <t>SKÅNE LÄN</t>
        </is>
      </c>
      <c r="G236" t="inlineStr">
        <is>
          <t>KLIPPAN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46281</v>
      </c>
      <c r="F237" t="inlineStr">
        <is>
          <t>SKÅNE LÄN</t>
        </is>
      </c>
      <c r="G237" t="inlineStr">
        <is>
          <t>KLIPPAN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46281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46281</v>
      </c>
      <c r="F239" t="inlineStr">
        <is>
          <t>SKÅNE LÄN</t>
        </is>
      </c>
      <c r="G239" t="inlineStr">
        <is>
          <t>KLIPPAN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46269</v>
      </c>
      <c r="E240" s="1" t="n">
        <v>46281</v>
      </c>
      <c r="F240" t="inlineStr">
        <is>
          <t>SKÅNE LÄN</t>
        </is>
      </c>
      <c r="G240" t="inlineStr">
        <is>
          <t>KLIPPAN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46269</v>
      </c>
      <c r="E241" s="1" t="n">
        <v>46281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46281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45086</v>
      </c>
      <c r="E243" s="1" t="n">
        <v>46281</v>
      </c>
      <c r="F243" t="inlineStr">
        <is>
          <t>SKÅNE LÄN</t>
        </is>
      </c>
      <c r="G243" t="inlineStr">
        <is>
          <t>KLIPPAN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46281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46281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46281</v>
      </c>
      <c r="F246" t="inlineStr">
        <is>
          <t>SKÅNE LÄN</t>
        </is>
      </c>
      <c r="G246" t="inlineStr">
        <is>
          <t>KLIPPAN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46274</v>
      </c>
      <c r="E247" s="1" t="n">
        <v>46281</v>
      </c>
      <c r="F247" t="inlineStr">
        <is>
          <t>SKÅNE LÄN</t>
        </is>
      </c>
      <c r="G247" t="inlineStr">
        <is>
          <t>KLIPPAN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46281</v>
      </c>
      <c r="F248" t="inlineStr">
        <is>
          <t>SKÅNE LÄN</t>
        </is>
      </c>
      <c r="G248" t="inlineStr">
        <is>
          <t>KLIPPAN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46281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46281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46281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46279</v>
      </c>
      <c r="E252" s="1" t="n">
        <v>46281</v>
      </c>
      <c r="F252" t="inlineStr">
        <is>
          <t>SKÅNE LÄN</t>
        </is>
      </c>
      <c r="G252" t="inlineStr">
        <is>
          <t>KLIPPAN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46281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46281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46281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46281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46281</v>
      </c>
      <c r="F257" t="inlineStr">
        <is>
          <t>SKÅNE LÄN</t>
        </is>
      </c>
      <c r="G257" t="inlineStr">
        <is>
          <t>KLIPPAN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45573</v>
      </c>
      <c r="E258" s="1" t="n">
        <v>46281</v>
      </c>
      <c r="F258" t="inlineStr">
        <is>
          <t>SKÅNE LÄN</t>
        </is>
      </c>
      <c r="G258" t="inlineStr">
        <is>
          <t>KLIPPAN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46281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46281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45721</v>
      </c>
      <c r="E261" s="1" t="n">
        <v>46281</v>
      </c>
      <c r="F261" t="inlineStr">
        <is>
          <t>SKÅNE LÄN</t>
        </is>
      </c>
      <c r="G261" t="inlineStr">
        <is>
          <t>KLIPPAN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46281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45094</v>
      </c>
      <c r="E263" s="1" t="n">
        <v>46281</v>
      </c>
      <c r="F263" t="inlineStr">
        <is>
          <t>SKÅNE LÄN</t>
        </is>
      </c>
      <c r="G263" t="inlineStr">
        <is>
          <t>KLIPPAN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46281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46281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46281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50357-2021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44455</v>
      </c>
      <c r="E267" s="1" t="n">
        <v>46281</v>
      </c>
      <c r="F267" t="inlineStr">
        <is>
          <t>SKÅNE LÄN</t>
        </is>
      </c>
      <c r="G267" t="inlineStr">
        <is>
          <t>KLIPPAN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704-2022</t>
        </is>
      </c>
      <c r="B268" t="inlineStr">
        <is>
          <t>samrådsanmälan</t>
        </is>
      </c>
      <c r="C268" t="inlineStr">
        <is>
          <t>Skogsbilväg</t>
        </is>
      </c>
      <c r="D268" s="1" t="n">
        <v>44599</v>
      </c>
      <c r="E268" s="1" t="n">
        <v>46281</v>
      </c>
      <c r="F268" t="inlineStr">
        <is>
          <t>SKÅNE LÄN</t>
        </is>
      </c>
      <c r="G268" t="inlineStr">
        <is>
          <t>KLIPPAN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2678-2022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46281</v>
      </c>
      <c r="F269" t="inlineStr">
        <is>
          <t>SKÅNE LÄN</t>
        </is>
      </c>
      <c r="G269" t="inlineStr">
        <is>
          <t>KLIPPAN</t>
        </is>
      </c>
      <c r="I269" t="n">
        <v>15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2690-2022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44701</v>
      </c>
      <c r="E270" s="1" t="n">
        <v>46281</v>
      </c>
      <c r="F270" t="inlineStr">
        <is>
          <t>SKÅNE LÄN</t>
        </is>
      </c>
      <c r="G270" t="inlineStr">
        <is>
          <t>KLIPPAN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3541-2023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45209</v>
      </c>
      <c r="E271" s="1" t="n">
        <v>46281</v>
      </c>
      <c r="F271" t="inlineStr">
        <is>
          <t>SKÅNE LÄN</t>
        </is>
      </c>
      <c r="G271" t="inlineStr">
        <is>
          <t>KLIPPAN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5970-2022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44858</v>
      </c>
      <c r="E272" s="1" t="n">
        <v>46281</v>
      </c>
      <c r="F272" t="inlineStr">
        <is>
          <t>SKÅNE LÄN</t>
        </is>
      </c>
      <c r="G272" t="inlineStr">
        <is>
          <t>KLIPPAN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116-2023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46281</v>
      </c>
      <c r="F273" t="inlineStr">
        <is>
          <t>SKÅNE LÄN</t>
        </is>
      </c>
      <c r="G273" t="inlineStr">
        <is>
          <t>KLIPPAN</t>
        </is>
      </c>
      <c r="I273" t="n">
        <v>51.8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525-2024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45348</v>
      </c>
      <c r="E274" s="1" t="n">
        <v>46281</v>
      </c>
      <c r="F274" t="inlineStr">
        <is>
          <t>SKÅNE LÄN</t>
        </is>
      </c>
      <c r="G274" t="inlineStr">
        <is>
          <t>KLIPPAN</t>
        </is>
      </c>
      <c r="I274" t="n">
        <v>22.3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1710-2024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46281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1713-2024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46281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3796-2024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46281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3804-2024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46281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1716-2024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46281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29.5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110-2023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44936</v>
      </c>
      <c r="E280" s="1" t="n">
        <v>46281</v>
      </c>
      <c r="F280" t="inlineStr">
        <is>
          <t>SKÅNE LÄN</t>
        </is>
      </c>
      <c r="G280" t="inlineStr">
        <is>
          <t>KLIPPAN</t>
        </is>
      </c>
      <c r="I280" t="n">
        <v>26.9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4865-2022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44805</v>
      </c>
      <c r="E281" s="1" t="n">
        <v>46281</v>
      </c>
      <c r="F281" t="inlineStr">
        <is>
          <t>SKÅNE LÄN</t>
        </is>
      </c>
      <c r="G281" t="inlineStr">
        <is>
          <t>KLIPPAN</t>
        </is>
      </c>
      <c r="I281" t="n">
        <v>29.1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3792-2024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46281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46281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46281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46281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46281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46281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46281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46281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46281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46281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46281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46281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46281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2026-09-16T01:58:58Z</dcterms:created>
  <dcterms:modified xmlns:dcterms="http://purl.org/dc/terms/" xmlns:xsi="http://www.w3.org/2001/XMLSchema-instance" xsi:type="dcterms:W3CDTF">2026-09-16T01:58:58Z</dcterms:modified>
</cp:coreProperties>
</file>