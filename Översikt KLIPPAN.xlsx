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46292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46292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46292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46292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46292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46292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46292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46292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46292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46292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46292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46292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46292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46292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46292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46292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46292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46292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46292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46292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46292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39440-2026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46288</v>
      </c>
      <c r="E28" s="1" t="n">
        <v>46292</v>
      </c>
      <c r="F28" t="inlineStr">
        <is>
          <t>SKÅNE LÄN</t>
        </is>
      </c>
      <c r="G28" t="inlineStr">
        <is>
          <t>KLIPPAN</t>
        </is>
      </c>
      <c r="I28" t="n">
        <v>0.7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Vanlig groda</t>
        </is>
      </c>
      <c r="W28">
        <f>HYPERLINK("https://klasma.github.io/Logging_1276/artfynd/A 39440-2026 artfynd.xlsx", "A 39440-2026")</f>
        <v/>
      </c>
      <c r="X28">
        <f>HYPERLINK("https://klasma.github.io/Logging_1276/kartor/A 39440-2026 karta.png", "A 39440-2026")</f>
        <v/>
      </c>
      <c r="Y28">
        <f>HYPERLINK("https://klasma.github.io/Logging_1276/kartor_geotiff/A 39440-2026 georefererad karta.tif", "A 39440-2026")</f>
        <v/>
      </c>
      <c r="AA28">
        <f>HYPERLINK("https://klasma.github.io/Logging_1276/klagomål/A 39440-2026 FSC-klagomål.docx", "A 39440-2026")</f>
        <v/>
      </c>
      <c r="AB28">
        <f>HYPERLINK("https://klasma.github.io/Logging_1276/klagomålsmail/A 39440-2026 FSC-klagomål mail.docx", "A 39440-2026")</f>
        <v/>
      </c>
      <c r="AC28">
        <f>HYPERLINK("https://klasma.github.io/Logging_1276/tillsyn/A 39440-2026 tillsynsbegäran.docx", "A 39440-2026")</f>
        <v/>
      </c>
      <c r="AD28">
        <f>HYPERLINK("https://klasma.github.io/Logging_1276/tillsynsmail/A 39440-2026 tillsynsbegäran mail.docx", "A 39440-2026")</f>
        <v/>
      </c>
      <c r="AE28">
        <f>HYPERLINK("https://klasma.github.io/Logging_1276/fåglar/A 39440-2026 prioriterade fågelarter.docx", "A 39440-2026")</f>
        <v/>
      </c>
    </row>
    <row r="29" ht="15" customHeight="1">
      <c r="A29" t="inlineStr">
        <is>
          <t>A 39820-2026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46289</v>
      </c>
      <c r="E29" s="1" t="n">
        <v>46292</v>
      </c>
      <c r="F29" t="inlineStr">
        <is>
          <t>SKÅNE LÄN</t>
        </is>
      </c>
      <c r="G29" t="inlineStr">
        <is>
          <t>KLIPPAN</t>
        </is>
      </c>
      <c r="I29" t="n">
        <v>13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Skogsödla
Vanlig groda</t>
        </is>
      </c>
      <c r="W29">
        <f>HYPERLINK("https://klasma.github.io/Logging_1276/artfynd/A 39820-2026 artfynd.xlsx", "A 39820-2026")</f>
        <v/>
      </c>
      <c r="X29">
        <f>HYPERLINK("https://klasma.github.io/Logging_1276/kartor/A 39820-2026 karta.png", "A 39820-2026")</f>
        <v/>
      </c>
      <c r="Y29">
        <f>HYPERLINK("https://klasma.github.io/Logging_1276/kartor_geotiff/A 39820-2026 georefererad karta.tif", "A 39820-2026")</f>
        <v/>
      </c>
      <c r="AA29">
        <f>HYPERLINK("https://klasma.github.io/Logging_1276/klagomål/A 39820-2026 FSC-klagomål.docx", "A 39820-2026")</f>
        <v/>
      </c>
      <c r="AB29">
        <f>HYPERLINK("https://klasma.github.io/Logging_1276/klagomålsmail/A 39820-2026 FSC-klagomål mail.docx", "A 39820-2026")</f>
        <v/>
      </c>
      <c r="AC29">
        <f>HYPERLINK("https://klasma.github.io/Logging_1276/tillsyn/A 39820-2026 tillsynsbegäran.docx", "A 39820-2026")</f>
        <v/>
      </c>
      <c r="AD29">
        <f>HYPERLINK("https://klasma.github.io/Logging_1276/tillsynsmail/A 39820-2026 tillsynsbegäran mail.docx", "A 39820-2026")</f>
        <v/>
      </c>
    </row>
    <row r="30" ht="15" customHeight="1">
      <c r="A30" t="inlineStr">
        <is>
          <t>A 5797-2024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46292</v>
      </c>
      <c r="F30" t="inlineStr">
        <is>
          <t>SKÅNE LÄN</t>
        </is>
      </c>
      <c r="G30" t="inlineStr">
        <is>
          <t>KLIPPAN</t>
        </is>
      </c>
      <c r="I30" t="n">
        <v>1.8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Gröngöling</t>
        </is>
      </c>
      <c r="W30">
        <f>HYPERLINK("https://klasma.github.io/Logging_1276/artfynd/A 5797-2024 artfynd.xlsx", "A 5797-2024")</f>
        <v/>
      </c>
      <c r="X30">
        <f>HYPERLINK("https://klasma.github.io/Logging_1276/kartor/A 5797-2024 karta.png", "A 5797-2024")</f>
        <v/>
      </c>
      <c r="Y30">
        <f>HYPERLINK("https://klasma.github.io/Logging_1276/kartor_geotiff/A 5797-2024 georefererad karta.tif", "A 5797-2024")</f>
        <v/>
      </c>
      <c r="AA30">
        <f>HYPERLINK("https://klasma.github.io/Logging_1276/klagomål/A 5797-2024 FSC-klagomål.docx", "A 5797-2024")</f>
        <v/>
      </c>
      <c r="AB30">
        <f>HYPERLINK("https://klasma.github.io/Logging_1276/klagomålsmail/A 5797-2024 FSC-klagomål mail.docx", "A 5797-2024")</f>
        <v/>
      </c>
      <c r="AC30">
        <f>HYPERLINK("https://klasma.github.io/Logging_1276/tillsyn/A 5797-2024 tillsynsbegäran.docx", "A 5797-2024")</f>
        <v/>
      </c>
      <c r="AD30">
        <f>HYPERLINK("https://klasma.github.io/Logging_1276/tillsynsmail/A 5797-2024 tillsynsbegäran mail.docx", "A 5797-2024")</f>
        <v/>
      </c>
      <c r="AE30">
        <f>HYPERLINK("https://klasma.github.io/Logging_1276/fåglar/A 5797-2024 prioriterade fågelarter.docx", "A 5797-2024")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46292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46292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46292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46292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46292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46292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15810-2024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45404</v>
      </c>
      <c r="E37" s="1" t="n">
        <v>46292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Småvänderot</t>
        </is>
      </c>
      <c r="W37">
        <f>HYPERLINK("https://klasma.github.io/Logging_1276/artfynd/A 15810-2024 artfynd.xlsx", "A 15810-2024")</f>
        <v/>
      </c>
      <c r="X37">
        <f>HYPERLINK("https://klasma.github.io/Logging_1276/kartor/A 15810-2024 karta.png", "A 15810-2024")</f>
        <v/>
      </c>
      <c r="Y37">
        <f>HYPERLINK("https://klasma.github.io/Logging_1276/kartor_geotiff/A 15810-2024 georefererad karta.tif", "A 15810-2024")</f>
        <v/>
      </c>
      <c r="AA37">
        <f>HYPERLINK("https://klasma.github.io/Logging_1276/klagomål/A 15810-2024 FSC-klagomål.docx", "A 15810-2024")</f>
        <v/>
      </c>
      <c r="AB37">
        <f>HYPERLINK("https://klasma.github.io/Logging_1276/klagomålsmail/A 15810-2024 FSC-klagomål mail.docx", "A 15810-2024")</f>
        <v/>
      </c>
      <c r="AC37">
        <f>HYPERLINK("https://klasma.github.io/Logging_1276/tillsyn/A 15810-2024 tillsynsbegäran.docx", "A 15810-2024")</f>
        <v/>
      </c>
      <c r="AD37">
        <f>HYPERLINK("https://klasma.github.io/Logging_1276/tillsynsmail/A 15810-2024 tillsynsbegäran mail.docx", "A 15810-2024")</f>
        <v/>
      </c>
    </row>
    <row r="38" ht="15" customHeight="1">
      <c r="A38" t="inlineStr">
        <is>
          <t>A 14892-2023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45015</v>
      </c>
      <c r="E38" s="1" t="n">
        <v>46292</v>
      </c>
      <c r="F38" t="inlineStr">
        <is>
          <t>SKÅNE LÄN</t>
        </is>
      </c>
      <c r="G38" t="inlineStr">
        <is>
          <t>KLIPPAN</t>
        </is>
      </c>
      <c r="I38" t="n">
        <v>2.7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14892-2023 artfynd.xlsx", "A 14892-2023")</f>
        <v/>
      </c>
      <c r="X38">
        <f>HYPERLINK("https://klasma.github.io/Logging_1276/kartor/A 14892-2023 karta.png", "A 14892-2023")</f>
        <v/>
      </c>
      <c r="Y38">
        <f>HYPERLINK("https://klasma.github.io/Logging_1276/kartor_geotiff/A 14892-2023 georefererad karta.tif", "A 14892-2023")</f>
        <v/>
      </c>
      <c r="AA38">
        <f>HYPERLINK("https://klasma.github.io/Logging_1276/klagomål/A 14892-2023 FSC-klagomål.docx", "A 14892-2023")</f>
        <v/>
      </c>
      <c r="AB38">
        <f>HYPERLINK("https://klasma.github.io/Logging_1276/klagomålsmail/A 14892-2023 FSC-klagomål mail.docx", "A 14892-2023")</f>
        <v/>
      </c>
      <c r="AC38">
        <f>HYPERLINK("https://klasma.github.io/Logging_1276/tillsyn/A 14892-2023 tillsynsbegäran.docx", "A 14892-2023")</f>
        <v/>
      </c>
      <c r="AD38">
        <f>HYPERLINK("https://klasma.github.io/Logging_1276/tillsynsmail/A 14892-2023 tillsynsbegäran mail.docx", "A 14892-2023")</f>
        <v/>
      </c>
      <c r="AE38">
        <f>HYPERLINK("https://klasma.github.io/Logging_1276/fåglar/A 14892-2023 prioriterade fågelarter.docx", "A 14892-2023")</f>
        <v/>
      </c>
    </row>
    <row r="39" ht="15" customHeight="1">
      <c r="A39" t="inlineStr">
        <is>
          <t>A 61049-2025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46292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61049-2025 artfynd.xlsx", "A 61049-2025")</f>
        <v/>
      </c>
      <c r="X39">
        <f>HYPERLINK("https://klasma.github.io/Logging_1276/kartor/A 61049-2025 karta.png", "A 61049-2025")</f>
        <v/>
      </c>
      <c r="Y39">
        <f>HYPERLINK("https://klasma.github.io/Logging_1276/kartor_geotiff/A 61049-2025 georefererad karta.tif", "A 61049-2025")</f>
        <v/>
      </c>
      <c r="AA39">
        <f>HYPERLINK("https://klasma.github.io/Logging_1276/klagomål/A 61049-2025 FSC-klagomål.docx", "A 61049-2025")</f>
        <v/>
      </c>
      <c r="AB39">
        <f>HYPERLINK("https://klasma.github.io/Logging_1276/klagomålsmail/A 61049-2025 FSC-klagomål mail.docx", "A 61049-2025")</f>
        <v/>
      </c>
      <c r="AC39">
        <f>HYPERLINK("https://klasma.github.io/Logging_1276/tillsyn/A 61049-2025 tillsynsbegäran.docx", "A 61049-2025")</f>
        <v/>
      </c>
      <c r="AD39">
        <f>HYPERLINK("https://klasma.github.io/Logging_1276/tillsynsmail/A 61049-2025 tillsynsbegäran mail.docx", "A 61049-2025")</f>
        <v/>
      </c>
      <c r="AE39">
        <f>HYPERLINK("https://klasma.github.io/Logging_1276/fåglar/A 61049-2025 prioriterade fågelarter.docx", "A 61049-2025")</f>
        <v/>
      </c>
    </row>
    <row r="40" ht="15" customHeight="1">
      <c r="A40" t="inlineStr">
        <is>
          <t>A 61058-2025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46292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Kungsfågel</t>
        </is>
      </c>
      <c r="W40">
        <f>HYPERLINK("https://klasma.github.io/Logging_1276/artfynd/A 61058-2025 artfynd.xlsx", "A 61058-2025")</f>
        <v/>
      </c>
      <c r="X40">
        <f>HYPERLINK("https://klasma.github.io/Logging_1276/kartor/A 61058-2025 karta.png", "A 61058-2025")</f>
        <v/>
      </c>
      <c r="Y40">
        <f>HYPERLINK("https://klasma.github.io/Logging_1276/kartor_geotiff/A 61058-2025 georefererad karta.tif", "A 61058-2025")</f>
        <v/>
      </c>
      <c r="AA40">
        <f>HYPERLINK("https://klasma.github.io/Logging_1276/klagomål/A 61058-2025 FSC-klagomål.docx", "A 61058-2025")</f>
        <v/>
      </c>
      <c r="AB40">
        <f>HYPERLINK("https://klasma.github.io/Logging_1276/klagomålsmail/A 61058-2025 FSC-klagomål mail.docx", "A 61058-2025")</f>
        <v/>
      </c>
      <c r="AC40">
        <f>HYPERLINK("https://klasma.github.io/Logging_1276/tillsyn/A 61058-2025 tillsynsbegäran.docx", "A 61058-2025")</f>
        <v/>
      </c>
      <c r="AD40">
        <f>HYPERLINK("https://klasma.github.io/Logging_1276/tillsynsmail/A 61058-2025 tillsynsbegäran mail.docx", "A 61058-2025")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46292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21788-2026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46292</v>
      </c>
      <c r="F42" t="inlineStr">
        <is>
          <t>SKÅNE LÄN</t>
        </is>
      </c>
      <c r="G42" t="inlineStr">
        <is>
          <t>KLIPPAN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Bäckbräsma</t>
        </is>
      </c>
      <c r="W42">
        <f>HYPERLINK("https://klasma.github.io/Logging_1276/artfynd/A 21788-2026 artfynd.xlsx", "A 21788-2026")</f>
        <v/>
      </c>
      <c r="X42">
        <f>HYPERLINK("https://klasma.github.io/Logging_1276/kartor/A 21788-2026 karta.png", "A 21788-2026")</f>
        <v/>
      </c>
      <c r="Y42">
        <f>HYPERLINK("https://klasma.github.io/Logging_1276/kartor_geotiff/A 21788-2026 georefererad karta.tif", "A 21788-2026")</f>
        <v/>
      </c>
      <c r="AA42">
        <f>HYPERLINK("https://klasma.github.io/Logging_1276/klagomål/A 21788-2026 FSC-klagomål.docx", "A 21788-2026")</f>
        <v/>
      </c>
      <c r="AB42">
        <f>HYPERLINK("https://klasma.github.io/Logging_1276/klagomålsmail/A 21788-2026 FSC-klagomål mail.docx", "A 21788-2026")</f>
        <v/>
      </c>
      <c r="AC42">
        <f>HYPERLINK("https://klasma.github.io/Logging_1276/tillsyn/A 21788-2026 tillsynsbegäran.docx", "A 21788-2026")</f>
        <v/>
      </c>
      <c r="AD42">
        <f>HYPERLINK("https://klasma.github.io/Logging_1276/tillsynsmail/A 21788-2026 tillsynsbegäran mail.docx", "A 21788-2026")</f>
        <v/>
      </c>
    </row>
    <row r="43" ht="15" customHeight="1">
      <c r="A43" t="inlineStr">
        <is>
          <t>A 31279-2026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46292</v>
      </c>
      <c r="F43" t="inlineStr">
        <is>
          <t>SKÅNE LÄN</t>
        </is>
      </c>
      <c r="G43" t="inlineStr">
        <is>
          <t>KLIPPAN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31279-2026 artfynd.xlsx", "A 31279-2026")</f>
        <v/>
      </c>
      <c r="X43">
        <f>HYPERLINK("https://klasma.github.io/Logging_1276/kartor/A 31279-2026 karta.png", "A 31279-2026")</f>
        <v/>
      </c>
      <c r="Y43">
        <f>HYPERLINK("https://klasma.github.io/Logging_1276/kartor_geotiff/A 31279-2026 georefererad karta.tif", "A 31279-2026")</f>
        <v/>
      </c>
      <c r="AA43">
        <f>HYPERLINK("https://klasma.github.io/Logging_1276/klagomål/A 31279-2026 FSC-klagomål.docx", "A 31279-2026")</f>
        <v/>
      </c>
      <c r="AB43">
        <f>HYPERLINK("https://klasma.github.io/Logging_1276/klagomålsmail/A 31279-2026 FSC-klagomål mail.docx", "A 31279-2026")</f>
        <v/>
      </c>
      <c r="AC43">
        <f>HYPERLINK("https://klasma.github.io/Logging_1276/tillsyn/A 31279-2026 tillsynsbegäran.docx", "A 31279-2026")</f>
        <v/>
      </c>
      <c r="AD43">
        <f>HYPERLINK("https://klasma.github.io/Logging_1276/tillsynsmail/A 31279-2026 tillsynsbegäran mail.docx", "A 31279-2026")</f>
        <v/>
      </c>
    </row>
    <row r="44" ht="15" customHeight="1">
      <c r="A44" t="inlineStr">
        <is>
          <t>A 10000-2025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46292</v>
      </c>
      <c r="F44" t="inlineStr">
        <is>
          <t>SKÅNE LÄN</t>
        </is>
      </c>
      <c r="G44" t="inlineStr">
        <is>
          <t>KLIPPAN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10000-2025 artfynd.xlsx", "A 10000-2025")</f>
        <v/>
      </c>
      <c r="X44">
        <f>HYPERLINK("https://klasma.github.io/Logging_1276/kartor/A 10000-2025 karta.png", "A 10000-2025")</f>
        <v/>
      </c>
      <c r="Y44">
        <f>HYPERLINK("https://klasma.github.io/Logging_1276/kartor_geotiff/A 10000-2025 georefererad karta.tif", "A 10000-2025")</f>
        <v/>
      </c>
      <c r="AA44">
        <f>HYPERLINK("https://klasma.github.io/Logging_1276/klagomål/A 10000-2025 FSC-klagomål.docx", "A 10000-2025")</f>
        <v/>
      </c>
      <c r="AB44">
        <f>HYPERLINK("https://klasma.github.io/Logging_1276/klagomålsmail/A 10000-2025 FSC-klagomål mail.docx", "A 10000-2025")</f>
        <v/>
      </c>
      <c r="AC44">
        <f>HYPERLINK("https://klasma.github.io/Logging_1276/tillsyn/A 10000-2025 tillsynsbegäran.docx", "A 10000-2025")</f>
        <v/>
      </c>
      <c r="AD44">
        <f>HYPERLINK("https://klasma.github.io/Logging_1276/tillsynsmail/A 10000-2025 tillsynsbegäran mail.docx", "A 10000-2025")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46292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46292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46292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S 841-2023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44992</v>
      </c>
      <c r="E48" s="1" t="n">
        <v>46292</v>
      </c>
      <c r="F48" t="inlineStr">
        <is>
          <t>SKÅNE LÄN</t>
        </is>
      </c>
      <c r="G48" t="inlineStr">
        <is>
          <t>KLIPPAN</t>
        </is>
      </c>
      <c r="I48" t="n">
        <v>23.9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HYPERLINK("https://klasma.github.io/Logging_1276/artfynd/S 841-2023 artfynd.xlsx", "S 841-2023")</f>
        <v/>
      </c>
      <c r="X48">
        <f>HYPERLINK("https://klasma.github.io/Logging_1276/kartor/S 841-2023 karta.png", "S 841-2023")</f>
        <v/>
      </c>
      <c r="Y48">
        <f>HYPERLINK("https://klasma.github.io/Logging_1276/kartor_geotiff/S 841-2023 georefererad karta.tif", "S 841-2023")</f>
        <v/>
      </c>
      <c r="AA48">
        <f>HYPERLINK("https://klasma.github.io/Logging_1276/klagomål/S 841-2023 FSC-klagomål.docx", "S 841-2023")</f>
        <v/>
      </c>
      <c r="AB48">
        <f>HYPERLINK("https://klasma.github.io/Logging_1276/klagomålsmail/S 841-2023 FSC-klagomål mail.docx", "S 841-2023")</f>
        <v/>
      </c>
      <c r="AC48">
        <f>HYPERLINK("https://klasma.github.io/Logging_1276/tillsyn/S 841-2023 tillsynsbegäran.docx", "S 841-2023")</f>
        <v/>
      </c>
      <c r="AD48">
        <f>HYPERLINK("https://klasma.github.io/Logging_1276/tillsynsmail/S 841-2023 tillsynsbegäran mail.docx", "S 841-2023")</f>
        <v/>
      </c>
    </row>
    <row r="49" ht="15" customHeight="1">
      <c r="A49" t="inlineStr">
        <is>
          <t>S 3667-2023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45217</v>
      </c>
      <c r="E49" s="1" t="n">
        <v>46292</v>
      </c>
      <c r="F49" t="inlineStr">
        <is>
          <t>SKÅNE LÄN</t>
        </is>
      </c>
      <c r="G49" t="inlineStr">
        <is>
          <t>KLIPPAN</t>
        </is>
      </c>
      <c r="I49" t="n">
        <v>186.4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HYPERLINK("https://klasma.github.io/Logging_1276/artfynd/S 3667-2023 artfynd.xlsx", "S 3667-2023")</f>
        <v/>
      </c>
      <c r="X49">
        <f>HYPERLINK("https://klasma.github.io/Logging_1276/kartor/S 3667-2023 karta.png", "S 3667-2023")</f>
        <v/>
      </c>
      <c r="Y49">
        <f>HYPERLINK("https://klasma.github.io/Logging_1276/kartor_geotiff/S 3667-2023 georefererad karta.tif", "S 3667-2023")</f>
        <v/>
      </c>
      <c r="AA49">
        <f>HYPERLINK("https://klasma.github.io/Logging_1276/klagomål/S 3667-2023 FSC-klagomål.docx", "S 3667-2023")</f>
        <v/>
      </c>
      <c r="AB49">
        <f>HYPERLINK("https://klasma.github.io/Logging_1276/klagomålsmail/S 3667-2023 FSC-klagomål mail.docx", "S 3667-2023")</f>
        <v/>
      </c>
      <c r="AC49">
        <f>HYPERLINK("https://klasma.github.io/Logging_1276/tillsyn/S 3667-2023 tillsynsbegäran.docx", "S 3667-2023")</f>
        <v/>
      </c>
      <c r="AD49">
        <f>HYPERLINK("https://klasma.github.io/Logging_1276/tillsynsmail/S 3667-2023 tillsynsbegäran mail.docx", "S 3667-2023")</f>
        <v/>
      </c>
    </row>
    <row r="50" ht="15" customHeight="1">
      <c r="A50" t="inlineStr">
        <is>
          <t>S 5988-2022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44859</v>
      </c>
      <c r="E50" s="1" t="n">
        <v>46292</v>
      </c>
      <c r="F50" t="inlineStr">
        <is>
          <t>SKÅNE LÄN</t>
        </is>
      </c>
      <c r="G50" t="inlineStr">
        <is>
          <t>KLIPPAN</t>
        </is>
      </c>
      <c r="I50" t="n">
        <v>27.8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HYPERLINK("https://klasma.github.io/Logging_1276/artfynd/S 5988-2022 artfynd.xlsx", "S 5988-2022")</f>
        <v/>
      </c>
      <c r="X50">
        <f>HYPERLINK("https://klasma.github.io/Logging_1276/kartor/S 5988-2022 karta.png", "S 5988-2022")</f>
        <v/>
      </c>
      <c r="Y50">
        <f>HYPERLINK("https://klasma.github.io/Logging_1276/kartor_geotiff/S 5988-2022 georefererad karta.tif", "S 5988-2022")</f>
        <v/>
      </c>
      <c r="AA50">
        <f>HYPERLINK("https://klasma.github.io/Logging_1276/klagomål/S 5988-2022 FSC-klagomål.docx", "S 5988-2022")</f>
        <v/>
      </c>
      <c r="AB50">
        <f>HYPERLINK("https://klasma.github.io/Logging_1276/klagomålsmail/S 5988-2022 FSC-klagomål mail.docx", "S 5988-2022")</f>
        <v/>
      </c>
      <c r="AC50">
        <f>HYPERLINK("https://klasma.github.io/Logging_1276/tillsyn/S 5988-2022 tillsynsbegäran.docx", "S 5988-2022")</f>
        <v/>
      </c>
      <c r="AD50">
        <f>HYPERLINK("https://klasma.github.io/Logging_1276/tillsynsmail/S 5988-2022 tillsynsbegäran mail.docx", "S 5988-2022")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46292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46292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46292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46292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46292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46292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46292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46292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46292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46292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46292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46292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46292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46292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46292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46292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46292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46292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46292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46292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46292</v>
      </c>
      <c r="F72" t="inlineStr">
        <is>
          <t>SKÅNE LÄN</t>
        </is>
      </c>
      <c r="G72" t="inlineStr">
        <is>
          <t>KLIPPAN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46292</v>
      </c>
      <c r="F73" t="inlineStr">
        <is>
          <t>SKÅNE LÄN</t>
        </is>
      </c>
      <c r="G73" t="inlineStr">
        <is>
          <t>KLIPPAN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46292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46292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46292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46292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46292</v>
      </c>
      <c r="F78" t="inlineStr">
        <is>
          <t>SKÅNE LÄN</t>
        </is>
      </c>
      <c r="G78" t="inlineStr">
        <is>
          <t>KLIPPAN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55833-2023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45239</v>
      </c>
      <c r="E79" s="1" t="n">
        <v>46292</v>
      </c>
      <c r="F79" t="inlineStr">
        <is>
          <t>SKÅNE LÄN</t>
        </is>
      </c>
      <c r="G79" t="inlineStr">
        <is>
          <t>KLIPPAN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46292</v>
      </c>
      <c r="F80" t="inlineStr">
        <is>
          <t>SKÅNE LÄN</t>
        </is>
      </c>
      <c r="G80" t="inlineStr">
        <is>
          <t>KLIPPAN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46292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46292</v>
      </c>
      <c r="F82" t="inlineStr">
        <is>
          <t>SKÅNE LÄN</t>
        </is>
      </c>
      <c r="G82" t="inlineStr">
        <is>
          <t>KLIPPAN</t>
        </is>
      </c>
      <c r="I82" t="n">
        <v>20.9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46292</v>
      </c>
      <c r="F83" t="inlineStr">
        <is>
          <t>SKÅNE LÄN</t>
        </is>
      </c>
      <c r="G83" t="inlineStr">
        <is>
          <t>KLIPPAN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45442</v>
      </c>
      <c r="E84" s="1" t="n">
        <v>46292</v>
      </c>
      <c r="F84" t="inlineStr">
        <is>
          <t>SKÅNE LÄN</t>
        </is>
      </c>
      <c r="G84" t="inlineStr">
        <is>
          <t>KLIPPAN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46292</v>
      </c>
      <c r="F85" t="inlineStr">
        <is>
          <t>SKÅNE LÄN</t>
        </is>
      </c>
      <c r="G85" t="inlineStr">
        <is>
          <t>KLIPPAN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46292</v>
      </c>
      <c r="F86" t="inlineStr">
        <is>
          <t>SKÅNE LÄN</t>
        </is>
      </c>
      <c r="G86" t="inlineStr">
        <is>
          <t>KLIPPAN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46292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46292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46292</v>
      </c>
      <c r="F89" t="inlineStr">
        <is>
          <t>SKÅNE LÄN</t>
        </is>
      </c>
      <c r="G89" t="inlineStr">
        <is>
          <t>KLIPPAN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45641-2022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44845</v>
      </c>
      <c r="E90" s="1" t="n">
        <v>46292</v>
      </c>
      <c r="F90" t="inlineStr">
        <is>
          <t>SKÅNE LÄN</t>
        </is>
      </c>
      <c r="G90" t="inlineStr">
        <is>
          <t>KLIPPAN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46292</v>
      </c>
      <c r="F91" t="inlineStr">
        <is>
          <t>SKÅNE LÄN</t>
        </is>
      </c>
      <c r="G91" t="inlineStr">
        <is>
          <t>KLIPPAN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46292</v>
      </c>
      <c r="F92" t="inlineStr">
        <is>
          <t>SKÅNE LÄN</t>
        </is>
      </c>
      <c r="G92" t="inlineStr">
        <is>
          <t>KLIPPAN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55586-2021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46292</v>
      </c>
      <c r="F93" t="inlineStr">
        <is>
          <t>SKÅNE LÄN</t>
        </is>
      </c>
      <c r="G93" t="inlineStr">
        <is>
          <t>KLIPPAN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44228-2024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45573</v>
      </c>
      <c r="E94" s="1" t="n">
        <v>46292</v>
      </c>
      <c r="F94" t="inlineStr">
        <is>
          <t>SKÅNE LÄN</t>
        </is>
      </c>
      <c r="G94" t="inlineStr">
        <is>
          <t>KLIPPAN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46292</v>
      </c>
      <c r="F95" t="inlineStr">
        <is>
          <t>SKÅNE LÄN</t>
        </is>
      </c>
      <c r="G95" t="inlineStr">
        <is>
          <t>KLIPPAN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46292</v>
      </c>
      <c r="F96" t="inlineStr">
        <is>
          <t>SKÅNE LÄN</t>
        </is>
      </c>
      <c r="G96" t="inlineStr">
        <is>
          <t>KLIPPAN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46292</v>
      </c>
      <c r="F97" t="inlineStr">
        <is>
          <t>SKÅNE LÄN</t>
        </is>
      </c>
      <c r="G97" t="inlineStr">
        <is>
          <t>KLIPPAN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46292</v>
      </c>
      <c r="F98" t="inlineStr">
        <is>
          <t>SKÅNE LÄN</t>
        </is>
      </c>
      <c r="G98" t="inlineStr">
        <is>
          <t>KLIPPAN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45519</v>
      </c>
      <c r="E99" s="1" t="n">
        <v>46292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46292</v>
      </c>
      <c r="F100" t="inlineStr">
        <is>
          <t>SKÅNE LÄN</t>
        </is>
      </c>
      <c r="G100" t="inlineStr">
        <is>
          <t>KLIPPAN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46292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46292</v>
      </c>
      <c r="F102" t="inlineStr">
        <is>
          <t>SKÅNE LÄN</t>
        </is>
      </c>
      <c r="G102" t="inlineStr">
        <is>
          <t>KLIPPAN</t>
        </is>
      </c>
      <c r="H102" t="inlineStr">
        <is>
          <t>Övriga Aktiebolag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44901</v>
      </c>
      <c r="E103" s="1" t="n">
        <v>46292</v>
      </c>
      <c r="F103" t="inlineStr">
        <is>
          <t>SKÅNE LÄN</t>
        </is>
      </c>
      <c r="G103" t="inlineStr">
        <is>
          <t>KLIPPAN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46292</v>
      </c>
      <c r="F104" t="inlineStr">
        <is>
          <t>SKÅNE LÄN</t>
        </is>
      </c>
      <c r="G104" t="inlineStr">
        <is>
          <t>KLIPPAN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46292</v>
      </c>
      <c r="F105" t="inlineStr">
        <is>
          <t>SKÅNE LÄN</t>
        </is>
      </c>
      <c r="G105" t="inlineStr">
        <is>
          <t>KLIPPAN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46292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46292</v>
      </c>
      <c r="F107" t="inlineStr">
        <is>
          <t>SKÅNE LÄN</t>
        </is>
      </c>
      <c r="G107" t="inlineStr">
        <is>
          <t>KLIPPAN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46292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46292</v>
      </c>
      <c r="F109" t="inlineStr">
        <is>
          <t>SKÅNE LÄN</t>
        </is>
      </c>
      <c r="G109" t="inlineStr">
        <is>
          <t>KLIPPAN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46292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45562</v>
      </c>
      <c r="E111" s="1" t="n">
        <v>46292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45013</v>
      </c>
      <c r="E112" s="1" t="n">
        <v>46292</v>
      </c>
      <c r="F112" t="inlineStr">
        <is>
          <t>SKÅNE LÄN</t>
        </is>
      </c>
      <c r="G112" t="inlineStr">
        <is>
          <t>KLIPPAN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46292</v>
      </c>
      <c r="F113" t="inlineStr">
        <is>
          <t>SKÅNE LÄN</t>
        </is>
      </c>
      <c r="G113" t="inlineStr">
        <is>
          <t>KLIPPAN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46292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46292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46292</v>
      </c>
      <c r="F116" t="inlineStr">
        <is>
          <t>SKÅNE LÄN</t>
        </is>
      </c>
      <c r="G116" t="inlineStr">
        <is>
          <t>KLIPPAN</t>
        </is>
      </c>
      <c r="I116" t="n">
        <v>9.699999999999999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46292</v>
      </c>
      <c r="F117" t="inlineStr">
        <is>
          <t>SKÅNE LÄN</t>
        </is>
      </c>
      <c r="G117" t="inlineStr">
        <is>
          <t>KLIPPAN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45260</v>
      </c>
      <c r="E118" s="1" t="n">
        <v>46292</v>
      </c>
      <c r="F118" t="inlineStr">
        <is>
          <t>SKÅNE LÄN</t>
        </is>
      </c>
      <c r="G118" t="inlineStr">
        <is>
          <t>KLIPPAN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46292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46292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46292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45069</v>
      </c>
      <c r="E122" s="1" t="n">
        <v>46292</v>
      </c>
      <c r="F122" t="inlineStr">
        <is>
          <t>SKÅNE LÄN</t>
        </is>
      </c>
      <c r="G122" t="inlineStr">
        <is>
          <t>KLIPPAN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46292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46292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45817</v>
      </c>
      <c r="E125" s="1" t="n">
        <v>46292</v>
      </c>
      <c r="F125" t="inlineStr">
        <is>
          <t>SKÅNE LÄN</t>
        </is>
      </c>
      <c r="G125" t="inlineStr">
        <is>
          <t>KLIPPAN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45055</v>
      </c>
      <c r="E126" s="1" t="n">
        <v>46292</v>
      </c>
      <c r="F126" t="inlineStr">
        <is>
          <t>SKÅNE LÄN</t>
        </is>
      </c>
      <c r="G126" t="inlineStr">
        <is>
          <t>KLIPPAN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46292</v>
      </c>
      <c r="F127" t="inlineStr">
        <is>
          <t>SKÅNE LÄN</t>
        </is>
      </c>
      <c r="G127" t="inlineStr">
        <is>
          <t>KLIPPAN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46292</v>
      </c>
      <c r="F128" t="inlineStr">
        <is>
          <t>SKÅNE LÄN</t>
        </is>
      </c>
      <c r="G128" t="inlineStr">
        <is>
          <t>KLIPPAN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46292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46292</v>
      </c>
      <c r="F130" t="inlineStr">
        <is>
          <t>SKÅNE LÄN</t>
        </is>
      </c>
      <c r="G130" t="inlineStr">
        <is>
          <t>KLIPPAN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46292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46292</v>
      </c>
      <c r="F132" t="inlineStr">
        <is>
          <t>SKÅNE LÄN</t>
        </is>
      </c>
      <c r="G132" t="inlineStr">
        <is>
          <t>KLIPPAN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46292</v>
      </c>
      <c r="F133" t="inlineStr">
        <is>
          <t>SKÅNE LÄN</t>
        </is>
      </c>
      <c r="G133" t="inlineStr">
        <is>
          <t>KLIPPAN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46292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46292</v>
      </c>
      <c r="F135" t="inlineStr">
        <is>
          <t>SKÅNE LÄN</t>
        </is>
      </c>
      <c r="G135" t="inlineStr">
        <is>
          <t>KLIPPAN</t>
        </is>
      </c>
      <c r="H135" t="inlineStr">
        <is>
          <t>Övriga Aktiebolag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45013</v>
      </c>
      <c r="E136" s="1" t="n">
        <v>46292</v>
      </c>
      <c r="F136" t="inlineStr">
        <is>
          <t>SKÅNE LÄN</t>
        </is>
      </c>
      <c r="G136" t="inlineStr">
        <is>
          <t>KLIPPAN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46292</v>
      </c>
      <c r="F137" t="inlineStr">
        <is>
          <t>SKÅNE LÄN</t>
        </is>
      </c>
      <c r="G137" t="inlineStr">
        <is>
          <t>KLIPPAN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46292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45094</v>
      </c>
      <c r="E139" s="1" t="n">
        <v>46292</v>
      </c>
      <c r="F139" t="inlineStr">
        <is>
          <t>SKÅNE LÄN</t>
        </is>
      </c>
      <c r="G139" t="inlineStr">
        <is>
          <t>KLIPPAN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55587-2021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46292</v>
      </c>
      <c r="F140" t="inlineStr">
        <is>
          <t>SKÅNE LÄN</t>
        </is>
      </c>
      <c r="G140" t="inlineStr">
        <is>
          <t>KLIPPAN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46292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46292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46292</v>
      </c>
      <c r="F143" t="inlineStr">
        <is>
          <t>SKÅNE LÄN</t>
        </is>
      </c>
      <c r="G143" t="inlineStr">
        <is>
          <t>KLIPPAN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69041-2021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44529</v>
      </c>
      <c r="E144" s="1" t="n">
        <v>46292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45077</v>
      </c>
      <c r="E145" s="1" t="n">
        <v>46292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46292</v>
      </c>
      <c r="F146" t="inlineStr">
        <is>
          <t>SKÅNE LÄN</t>
        </is>
      </c>
      <c r="G146" t="inlineStr">
        <is>
          <t>KLIPPAN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46292</v>
      </c>
      <c r="F147" t="inlineStr">
        <is>
          <t>SKÅNE LÄN</t>
        </is>
      </c>
      <c r="G147" t="inlineStr">
        <is>
          <t>KLIPPAN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46292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46292</v>
      </c>
      <c r="F149" t="inlineStr">
        <is>
          <t>SKÅNE LÄN</t>
        </is>
      </c>
      <c r="G149" t="inlineStr">
        <is>
          <t>KLIPPAN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29284-2025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45824</v>
      </c>
      <c r="E150" s="1" t="n">
        <v>46292</v>
      </c>
      <c r="F150" t="inlineStr">
        <is>
          <t>SKÅNE LÄN</t>
        </is>
      </c>
      <c r="G150" t="inlineStr">
        <is>
          <t>KLIPPAN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45055</v>
      </c>
      <c r="E151" s="1" t="n">
        <v>46292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46292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46292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46292</v>
      </c>
      <c r="F154" t="inlineStr">
        <is>
          <t>SKÅNE LÄN</t>
        </is>
      </c>
      <c r="G154" t="inlineStr">
        <is>
          <t>KLIPPAN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46292</v>
      </c>
      <c r="F155" t="inlineStr">
        <is>
          <t>SKÅNE LÄN</t>
        </is>
      </c>
      <c r="G155" t="inlineStr">
        <is>
          <t>KLIPPAN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44475</v>
      </c>
      <c r="E156" s="1" t="n">
        <v>46292</v>
      </c>
      <c r="F156" t="inlineStr">
        <is>
          <t>SKÅNE LÄN</t>
        </is>
      </c>
      <c r="G156" t="inlineStr">
        <is>
          <t>KLIPPAN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46292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46292</v>
      </c>
      <c r="F158" t="inlineStr">
        <is>
          <t>SKÅNE LÄN</t>
        </is>
      </c>
      <c r="G158" t="inlineStr">
        <is>
          <t>KLIPPAN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46013</v>
      </c>
      <c r="E159" s="1" t="n">
        <v>46292</v>
      </c>
      <c r="F159" t="inlineStr">
        <is>
          <t>SKÅNE LÄN</t>
        </is>
      </c>
      <c r="G159" t="inlineStr">
        <is>
          <t>KLIPPAN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46292</v>
      </c>
      <c r="F160" t="inlineStr">
        <is>
          <t>SKÅNE LÄN</t>
        </is>
      </c>
      <c r="G160" t="inlineStr">
        <is>
          <t>KLIPPAN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46292</v>
      </c>
      <c r="F161" t="inlineStr">
        <is>
          <t>SKÅNE LÄN</t>
        </is>
      </c>
      <c r="G161" t="inlineStr">
        <is>
          <t>KLIPPAN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46292</v>
      </c>
      <c r="F162" t="inlineStr">
        <is>
          <t>SKÅNE LÄN</t>
        </is>
      </c>
      <c r="G162" t="inlineStr">
        <is>
          <t>KLIPPAN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44944</v>
      </c>
      <c r="E163" s="1" t="n">
        <v>46292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46292</v>
      </c>
      <c r="F164" t="inlineStr">
        <is>
          <t>SKÅNE LÄN</t>
        </is>
      </c>
      <c r="G164" t="inlineStr">
        <is>
          <t>KLIPPAN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46292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46292</v>
      </c>
      <c r="F166" t="inlineStr">
        <is>
          <t>SKÅNE LÄN</t>
        </is>
      </c>
      <c r="G166" t="inlineStr">
        <is>
          <t>KLIPPAN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46292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46292</v>
      </c>
      <c r="F168" t="inlineStr">
        <is>
          <t>SKÅNE LÄN</t>
        </is>
      </c>
      <c r="G168" t="inlineStr">
        <is>
          <t>KLIPPAN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46292</v>
      </c>
      <c r="F169" t="inlineStr">
        <is>
          <t>SKÅNE LÄN</t>
        </is>
      </c>
      <c r="G169" t="inlineStr">
        <is>
          <t>KLIPPAN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44992</v>
      </c>
      <c r="E170" s="1" t="n">
        <v>46292</v>
      </c>
      <c r="F170" t="inlineStr">
        <is>
          <t>SKÅNE LÄN</t>
        </is>
      </c>
      <c r="G170" t="inlineStr">
        <is>
          <t>KLIPPAN</t>
        </is>
      </c>
      <c r="H170" t="inlineStr">
        <is>
          <t>Övriga Aktiebolag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46292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45785</v>
      </c>
      <c r="E172" s="1" t="n">
        <v>46292</v>
      </c>
      <c r="F172" t="inlineStr">
        <is>
          <t>SKÅNE LÄN</t>
        </is>
      </c>
      <c r="G172" t="inlineStr">
        <is>
          <t>KLIPPAN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46292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45040</v>
      </c>
      <c r="E174" s="1" t="n">
        <v>46292</v>
      </c>
      <c r="F174" t="inlineStr">
        <is>
          <t>SKÅNE LÄN</t>
        </is>
      </c>
      <c r="G174" t="inlineStr">
        <is>
          <t>KLIPPAN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46292</v>
      </c>
      <c r="F175" t="inlineStr">
        <is>
          <t>SKÅNE LÄN</t>
        </is>
      </c>
      <c r="G175" t="inlineStr">
        <is>
          <t>KLIPPAN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44944</v>
      </c>
      <c r="E176" s="1" t="n">
        <v>46292</v>
      </c>
      <c r="F176" t="inlineStr">
        <is>
          <t>SKÅNE LÄN</t>
        </is>
      </c>
      <c r="G176" t="inlineStr">
        <is>
          <t>KLIPPAN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46292</v>
      </c>
      <c r="F177" t="inlineStr">
        <is>
          <t>SKÅNE LÄN</t>
        </is>
      </c>
      <c r="G177" t="inlineStr">
        <is>
          <t>KLIPPAN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46292</v>
      </c>
      <c r="F178" t="inlineStr">
        <is>
          <t>SKÅNE LÄN</t>
        </is>
      </c>
      <c r="G178" t="inlineStr">
        <is>
          <t>KLIPPAN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46292</v>
      </c>
      <c r="F179" t="inlineStr">
        <is>
          <t>SKÅNE LÄN</t>
        </is>
      </c>
      <c r="G179" t="inlineStr">
        <is>
          <t>KLIPPAN</t>
        </is>
      </c>
      <c r="H179" t="inlineStr">
        <is>
          <t>Övriga Aktiebolag</t>
        </is>
      </c>
      <c r="I179" t="n">
        <v>11.6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46292</v>
      </c>
      <c r="F180" t="inlineStr">
        <is>
          <t>SKÅNE LÄN</t>
        </is>
      </c>
      <c r="G180" t="inlineStr">
        <is>
          <t>KLIPPAN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46292</v>
      </c>
      <c r="F181" t="inlineStr">
        <is>
          <t>SKÅNE LÄN</t>
        </is>
      </c>
      <c r="G181" t="inlineStr">
        <is>
          <t>KLIPPAN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46292</v>
      </c>
      <c r="F182" t="inlineStr">
        <is>
          <t>SKÅNE LÄN</t>
        </is>
      </c>
      <c r="G182" t="inlineStr">
        <is>
          <t>KLIPPAN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46292</v>
      </c>
      <c r="F183" t="inlineStr">
        <is>
          <t>SKÅNE LÄN</t>
        </is>
      </c>
      <c r="G183" t="inlineStr">
        <is>
          <t>KLIPPAN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44616</v>
      </c>
      <c r="E184" s="1" t="n">
        <v>46292</v>
      </c>
      <c r="F184" t="inlineStr">
        <is>
          <t>SKÅNE LÄN</t>
        </is>
      </c>
      <c r="G184" t="inlineStr">
        <is>
          <t>KLIPPAN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46292</v>
      </c>
      <c r="F185" t="inlineStr">
        <is>
          <t>SKÅNE LÄN</t>
        </is>
      </c>
      <c r="G185" t="inlineStr">
        <is>
          <t>KLIPPAN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45223</v>
      </c>
      <c r="E186" s="1" t="n">
        <v>46292</v>
      </c>
      <c r="F186" t="inlineStr">
        <is>
          <t>SKÅNE LÄN</t>
        </is>
      </c>
      <c r="G186" t="inlineStr">
        <is>
          <t>KLIPPAN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46292</v>
      </c>
      <c r="F187" t="inlineStr">
        <is>
          <t>SKÅNE LÄN</t>
        </is>
      </c>
      <c r="G187" t="inlineStr">
        <is>
          <t>KLIPPAN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45199</v>
      </c>
      <c r="E188" s="1" t="n">
        <v>46292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45104</v>
      </c>
      <c r="E189" s="1" t="n">
        <v>46292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46292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46292</v>
      </c>
      <c r="F191" t="inlineStr">
        <is>
          <t>SKÅNE LÄN</t>
        </is>
      </c>
      <c r="G191" t="inlineStr">
        <is>
          <t>KLIPPAN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46292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46206</v>
      </c>
      <c r="E193" s="1" t="n">
        <v>46292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46292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30422-2026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46292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46292</v>
      </c>
      <c r="F196" t="inlineStr">
        <is>
          <t>SKÅNE LÄN</t>
        </is>
      </c>
      <c r="G196" t="inlineStr">
        <is>
          <t>KLIPPAN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46251</v>
      </c>
      <c r="E197" s="1" t="n">
        <v>46292</v>
      </c>
      <c r="F197" t="inlineStr">
        <is>
          <t>SKÅNE LÄN</t>
        </is>
      </c>
      <c r="G197" t="inlineStr">
        <is>
          <t>KLIPPAN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46292</v>
      </c>
      <c r="F198" t="inlineStr">
        <is>
          <t>SKÅNE LÄN</t>
        </is>
      </c>
      <c r="G198" t="inlineStr">
        <is>
          <t>KLIPPAN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46292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46292</v>
      </c>
      <c r="F200" t="inlineStr">
        <is>
          <t>SKÅNE LÄN</t>
        </is>
      </c>
      <c r="G200" t="inlineStr">
        <is>
          <t>KLIPPAN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45209</v>
      </c>
      <c r="E201" s="1" t="n">
        <v>46292</v>
      </c>
      <c r="F201" t="inlineStr">
        <is>
          <t>SKÅNE LÄN</t>
        </is>
      </c>
      <c r="G201" t="inlineStr">
        <is>
          <t>KLIPPAN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46292</v>
      </c>
      <c r="F202" t="inlineStr">
        <is>
          <t>SKÅNE LÄN</t>
        </is>
      </c>
      <c r="G202" t="inlineStr">
        <is>
          <t>KLIPPAN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46292</v>
      </c>
      <c r="F203" t="inlineStr">
        <is>
          <t>SKÅNE LÄN</t>
        </is>
      </c>
      <c r="G203" t="inlineStr">
        <is>
          <t>KLIPPAN</t>
        </is>
      </c>
      <c r="I203" t="n">
        <v>17.2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46292</v>
      </c>
      <c r="F204" t="inlineStr">
        <is>
          <t>SKÅNE LÄN</t>
        </is>
      </c>
      <c r="G204" t="inlineStr">
        <is>
          <t>KLIPPAN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46292</v>
      </c>
      <c r="F205" t="inlineStr">
        <is>
          <t>SKÅNE LÄN</t>
        </is>
      </c>
      <c r="G205" t="inlineStr">
        <is>
          <t>KLIPPAN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46216</v>
      </c>
      <c r="E206" s="1" t="n">
        <v>46292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46216</v>
      </c>
      <c r="E207" s="1" t="n">
        <v>46292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45660</v>
      </c>
      <c r="E208" s="1" t="n">
        <v>46292</v>
      </c>
      <c r="F208" t="inlineStr">
        <is>
          <t>SKÅNE LÄN</t>
        </is>
      </c>
      <c r="G208" t="inlineStr">
        <is>
          <t>KLIPPAN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45442</v>
      </c>
      <c r="E209" s="1" t="n">
        <v>46292</v>
      </c>
      <c r="F209" t="inlineStr">
        <is>
          <t>SKÅNE LÄN</t>
        </is>
      </c>
      <c r="G209" t="inlineStr">
        <is>
          <t>KLIPPAN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46216</v>
      </c>
      <c r="E210" s="1" t="n">
        <v>46292</v>
      </c>
      <c r="F210" t="inlineStr">
        <is>
          <t>SKÅNE LÄN</t>
        </is>
      </c>
      <c r="G210" t="inlineStr">
        <is>
          <t>KLIPPAN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46728-2023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45198</v>
      </c>
      <c r="E211" s="1" t="n">
        <v>46292</v>
      </c>
      <c r="F211" t="inlineStr">
        <is>
          <t>SKÅNE LÄN</t>
        </is>
      </c>
      <c r="G211" t="inlineStr">
        <is>
          <t>KLIPPAN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46292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44722</v>
      </c>
      <c r="E213" s="1" t="n">
        <v>46292</v>
      </c>
      <c r="F213" t="inlineStr">
        <is>
          <t>SKÅNE LÄN</t>
        </is>
      </c>
      <c r="G213" t="inlineStr">
        <is>
          <t>KLIPPAN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46292</v>
      </c>
      <c r="F214" t="inlineStr">
        <is>
          <t>SKÅNE LÄN</t>
        </is>
      </c>
      <c r="G214" t="inlineStr">
        <is>
          <t>KLIPPAN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44726</v>
      </c>
      <c r="E215" s="1" t="n">
        <v>46292</v>
      </c>
      <c r="F215" t="inlineStr">
        <is>
          <t>SKÅNE LÄN</t>
        </is>
      </c>
      <c r="G215" t="inlineStr">
        <is>
          <t>KLIPPAN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46292</v>
      </c>
      <c r="F216" t="inlineStr">
        <is>
          <t>SKÅNE LÄN</t>
        </is>
      </c>
      <c r="G216" t="inlineStr">
        <is>
          <t>KLIPPAN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45155</v>
      </c>
      <c r="E217" s="1" t="n">
        <v>46292</v>
      </c>
      <c r="F217" t="inlineStr">
        <is>
          <t>SKÅNE LÄN</t>
        </is>
      </c>
      <c r="G217" t="inlineStr">
        <is>
          <t>KLIPPAN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46292</v>
      </c>
      <c r="F218" t="inlineStr">
        <is>
          <t>SKÅNE LÄN</t>
        </is>
      </c>
      <c r="G218" t="inlineStr">
        <is>
          <t>KLIPPAN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46265</v>
      </c>
      <c r="E219" s="1" t="n">
        <v>46292</v>
      </c>
      <c r="F219" t="inlineStr">
        <is>
          <t>SKÅNE LÄN</t>
        </is>
      </c>
      <c r="G219" t="inlineStr">
        <is>
          <t>KLIPPAN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46292</v>
      </c>
      <c r="F220" t="inlineStr">
        <is>
          <t>SKÅNE LÄN</t>
        </is>
      </c>
      <c r="G220" t="inlineStr">
        <is>
          <t>KLIPPAN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46292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45237</v>
      </c>
      <c r="E222" s="1" t="n">
        <v>46292</v>
      </c>
      <c r="F222" t="inlineStr">
        <is>
          <t>SKÅNE LÄN</t>
        </is>
      </c>
      <c r="G222" t="inlineStr">
        <is>
          <t>KLIPPAN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46269</v>
      </c>
      <c r="E223" s="1" t="n">
        <v>46292</v>
      </c>
      <c r="F223" t="inlineStr">
        <is>
          <t>SKÅNE LÄN</t>
        </is>
      </c>
      <c r="G223" t="inlineStr">
        <is>
          <t>KLIPPAN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46269</v>
      </c>
      <c r="E224" s="1" t="n">
        <v>46292</v>
      </c>
      <c r="F224" t="inlineStr">
        <is>
          <t>SKÅNE LÄN</t>
        </is>
      </c>
      <c r="G224" t="inlineStr">
        <is>
          <t>KLIPPAN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46292</v>
      </c>
      <c r="F225" t="inlineStr">
        <is>
          <t>SKÅNE LÄN</t>
        </is>
      </c>
      <c r="G225" t="inlineStr">
        <is>
          <t>KLIPPAN</t>
        </is>
      </c>
      <c r="H225" t="inlineStr">
        <is>
          <t>Övriga Aktiebolag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45320</v>
      </c>
      <c r="E226" s="1" t="n">
        <v>46292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64224-2023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46292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46292</v>
      </c>
      <c r="F228" t="inlineStr">
        <is>
          <t>SKÅNE LÄN</t>
        </is>
      </c>
      <c r="G228" t="inlineStr">
        <is>
          <t>KLIPPAN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46292</v>
      </c>
      <c r="F229" t="inlineStr">
        <is>
          <t>SKÅNE LÄN</t>
        </is>
      </c>
      <c r="G229" t="inlineStr">
        <is>
          <t>KLIPPAN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46292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46292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46279</v>
      </c>
      <c r="E232" s="1" t="n">
        <v>46292</v>
      </c>
      <c r="F232" t="inlineStr">
        <is>
          <t>SKÅNE LÄN</t>
        </is>
      </c>
      <c r="G232" t="inlineStr">
        <is>
          <t>KLIPPAN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45212</v>
      </c>
      <c r="E233" s="1" t="n">
        <v>46292</v>
      </c>
      <c r="F233" t="inlineStr">
        <is>
          <t>SKÅNE LÄN</t>
        </is>
      </c>
      <c r="G233" t="inlineStr">
        <is>
          <t>KLIPPAN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46292</v>
      </c>
      <c r="F234" t="inlineStr">
        <is>
          <t>SKÅNE LÄN</t>
        </is>
      </c>
      <c r="G234" t="inlineStr">
        <is>
          <t>KLIPPAN</t>
        </is>
      </c>
      <c r="H234" t="inlineStr">
        <is>
          <t>Övriga Aktiebolag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46281</v>
      </c>
      <c r="E235" s="1" t="n">
        <v>46292</v>
      </c>
      <c r="F235" t="inlineStr">
        <is>
          <t>SKÅNE LÄN</t>
        </is>
      </c>
      <c r="G235" t="inlineStr">
        <is>
          <t>KLIPPAN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46292</v>
      </c>
      <c r="F236" t="inlineStr">
        <is>
          <t>SKÅNE LÄN</t>
        </is>
      </c>
      <c r="G236" t="inlineStr">
        <is>
          <t>KLIPPAN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46292</v>
      </c>
      <c r="F237" t="inlineStr">
        <is>
          <t>SKÅNE LÄN</t>
        </is>
      </c>
      <c r="G237" t="inlineStr">
        <is>
          <t>KLIPPAN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68856-2021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44530</v>
      </c>
      <c r="E238" s="1" t="n">
        <v>46292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46286</v>
      </c>
      <c r="E239" s="1" t="n">
        <v>46292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46292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46292</v>
      </c>
      <c r="F241" t="inlineStr">
        <is>
          <t>SKÅNE LÄN</t>
        </is>
      </c>
      <c r="G241" t="inlineStr">
        <is>
          <t>KLIPPAN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46292</v>
      </c>
      <c r="F242" t="inlineStr">
        <is>
          <t>SKÅNE LÄN</t>
        </is>
      </c>
      <c r="G242" t="inlineStr">
        <is>
          <t>KLIPPAN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46292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46292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44817</v>
      </c>
      <c r="E245" s="1" t="n">
        <v>46292</v>
      </c>
      <c r="F245" t="inlineStr">
        <is>
          <t>SKÅNE LÄN</t>
        </is>
      </c>
      <c r="G245" t="inlineStr">
        <is>
          <t>KLIPPAN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44993</v>
      </c>
      <c r="E246" s="1" t="n">
        <v>46292</v>
      </c>
      <c r="F246" t="inlineStr">
        <is>
          <t>SKÅNE LÄN</t>
        </is>
      </c>
      <c r="G246" t="inlineStr">
        <is>
          <t>KLIPPAN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46223</v>
      </c>
      <c r="E247" s="1" t="n">
        <v>46292</v>
      </c>
      <c r="F247" t="inlineStr">
        <is>
          <t>SKÅNE LÄN</t>
        </is>
      </c>
      <c r="G247" t="inlineStr">
        <is>
          <t>KLIPPAN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46292</v>
      </c>
      <c r="F248" t="inlineStr">
        <is>
          <t>SKÅNE LÄN</t>
        </is>
      </c>
      <c r="G248" t="inlineStr">
        <is>
          <t>KLIPPAN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46292</v>
      </c>
      <c r="F249" t="inlineStr">
        <is>
          <t>SKÅNE LÄN</t>
        </is>
      </c>
      <c r="G249" t="inlineStr">
        <is>
          <t>KLIPPAN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44593</v>
      </c>
      <c r="E250" s="1" t="n">
        <v>46292</v>
      </c>
      <c r="F250" t="inlineStr">
        <is>
          <t>SKÅNE LÄN</t>
        </is>
      </c>
      <c r="G250" t="inlineStr">
        <is>
          <t>KLIPPAN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46292</v>
      </c>
      <c r="F251" t="inlineStr">
        <is>
          <t>SKÅNE LÄN</t>
        </is>
      </c>
      <c r="G251" t="inlineStr">
        <is>
          <t>KLIPPAN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46292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46292</v>
      </c>
      <c r="F253" t="inlineStr">
        <is>
          <t>SKÅNE LÄN</t>
        </is>
      </c>
      <c r="G253" t="inlineStr">
        <is>
          <t>KLIPPAN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44944</v>
      </c>
      <c r="E254" s="1" t="n">
        <v>46292</v>
      </c>
      <c r="F254" t="inlineStr">
        <is>
          <t>SKÅNE LÄN</t>
        </is>
      </c>
      <c r="G254" t="inlineStr">
        <is>
          <t>KLIPPAN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45077</v>
      </c>
      <c r="E255" s="1" t="n">
        <v>46292</v>
      </c>
      <c r="F255" t="inlineStr">
        <is>
          <t>SKÅNE LÄN</t>
        </is>
      </c>
      <c r="G255" t="inlineStr">
        <is>
          <t>KLIPPAN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45544</v>
      </c>
      <c r="E256" s="1" t="n">
        <v>46292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34051-2024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45523</v>
      </c>
      <c r="E257" s="1" t="n">
        <v>46292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45224</v>
      </c>
      <c r="E258" s="1" t="n">
        <v>46292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44855</v>
      </c>
      <c r="E259" s="1" t="n">
        <v>46292</v>
      </c>
      <c r="F259" t="inlineStr">
        <is>
          <t>SKÅNE LÄN</t>
        </is>
      </c>
      <c r="G259" t="inlineStr">
        <is>
          <t>KLIPPAN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45399</v>
      </c>
      <c r="E260" s="1" t="n">
        <v>46292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46292</v>
      </c>
      <c r="F261" t="inlineStr">
        <is>
          <t>SKÅNE LÄN</t>
        </is>
      </c>
      <c r="G261" t="inlineStr">
        <is>
          <t>KLIPPAN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45739</v>
      </c>
      <c r="E262" s="1" t="n">
        <v>46292</v>
      </c>
      <c r="F262" t="inlineStr">
        <is>
          <t>SKÅNE LÄN</t>
        </is>
      </c>
      <c r="G262" t="inlineStr">
        <is>
          <t>KLIPPAN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44991</v>
      </c>
      <c r="E263" s="1" t="n">
        <v>46292</v>
      </c>
      <c r="F263" t="inlineStr">
        <is>
          <t>SKÅNE LÄN</t>
        </is>
      </c>
      <c r="G263" t="inlineStr">
        <is>
          <t>KLIPPAN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46292</v>
      </c>
      <c r="F264" t="inlineStr">
        <is>
          <t>SKÅNE LÄN</t>
        </is>
      </c>
      <c r="G264" t="inlineStr">
        <is>
          <t>KLIPPAN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46292</v>
      </c>
      <c r="F265" t="inlineStr">
        <is>
          <t>SKÅNE LÄN</t>
        </is>
      </c>
      <c r="G265" t="inlineStr">
        <is>
          <t>KLIPPAN</t>
        </is>
      </c>
      <c r="H265" t="inlineStr">
        <is>
          <t>Sveaskog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45086</v>
      </c>
      <c r="E266" s="1" t="n">
        <v>46292</v>
      </c>
      <c r="F266" t="inlineStr">
        <is>
          <t>SKÅNE LÄN</t>
        </is>
      </c>
      <c r="G266" t="inlineStr">
        <is>
          <t>KLIPPAN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46292</v>
      </c>
      <c r="F267" t="inlineStr">
        <is>
          <t>SKÅNE LÄN</t>
        </is>
      </c>
      <c r="G267" t="inlineStr">
        <is>
          <t>KLIPPAN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46292</v>
      </c>
      <c r="F268" t="inlineStr">
        <is>
          <t>SKÅNE LÄN</t>
        </is>
      </c>
      <c r="G268" t="inlineStr">
        <is>
          <t>KLIPPAN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46292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46292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44883</v>
      </c>
      <c r="E271" s="1" t="n">
        <v>46292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46292</v>
      </c>
      <c r="F272" t="inlineStr">
        <is>
          <t>SKÅNE LÄN</t>
        </is>
      </c>
      <c r="G272" t="inlineStr">
        <is>
          <t>KLIPPAN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46292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46292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2690-2022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46292</v>
      </c>
      <c r="F275" t="inlineStr">
        <is>
          <t>SKÅNE LÄN</t>
        </is>
      </c>
      <c r="G275" t="inlineStr">
        <is>
          <t>KLIPPAN</t>
        </is>
      </c>
      <c r="I275" t="n">
        <v>16.3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3541-2023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45209</v>
      </c>
      <c r="E276" s="1" t="n">
        <v>46292</v>
      </c>
      <c r="F276" t="inlineStr">
        <is>
          <t>SKÅNE LÄN</t>
        </is>
      </c>
      <c r="G276" t="inlineStr">
        <is>
          <t>KLIPPAN</t>
        </is>
      </c>
      <c r="I276" t="n">
        <v>11.8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5970-2022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44858</v>
      </c>
      <c r="E277" s="1" t="n">
        <v>46292</v>
      </c>
      <c r="F277" t="inlineStr">
        <is>
          <t>SKÅNE LÄN</t>
        </is>
      </c>
      <c r="G277" t="inlineStr">
        <is>
          <t>KLIPPAN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116-2023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46292</v>
      </c>
      <c r="F278" t="inlineStr">
        <is>
          <t>SKÅNE LÄN</t>
        </is>
      </c>
      <c r="G278" t="inlineStr">
        <is>
          <t>KLIPPAN</t>
        </is>
      </c>
      <c r="I278" t="n">
        <v>51.8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525-2024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45348</v>
      </c>
      <c r="E279" s="1" t="n">
        <v>46292</v>
      </c>
      <c r="F279" t="inlineStr">
        <is>
          <t>SKÅNE LÄN</t>
        </is>
      </c>
      <c r="G279" t="inlineStr">
        <is>
          <t>KLIPPAN</t>
        </is>
      </c>
      <c r="I279" t="n">
        <v>22.3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1710-2024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45434</v>
      </c>
      <c r="E280" s="1" t="n">
        <v>46292</v>
      </c>
      <c r="F280" t="inlineStr">
        <is>
          <t>SKÅNE LÄN</t>
        </is>
      </c>
      <c r="G280" t="inlineStr">
        <is>
          <t>KLIPPAN</t>
        </is>
      </c>
      <c r="H280" t="inlineStr">
        <is>
          <t>Övriga Aktiebolag</t>
        </is>
      </c>
      <c r="I280" t="n">
        <v>13.4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1713-2024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45434</v>
      </c>
      <c r="E281" s="1" t="n">
        <v>46292</v>
      </c>
      <c r="F281" t="inlineStr">
        <is>
          <t>SKÅNE LÄN</t>
        </is>
      </c>
      <c r="G281" t="inlineStr">
        <is>
          <t>KLIPPAN</t>
        </is>
      </c>
      <c r="H281" t="inlineStr">
        <is>
          <t>Övriga Aktiebolag</t>
        </is>
      </c>
      <c r="I281" t="n">
        <v>12.3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3796-2024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46292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3804-2024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46292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45434</v>
      </c>
      <c r="E284" s="1" t="n">
        <v>46292</v>
      </c>
      <c r="F284" t="inlineStr">
        <is>
          <t>SKÅNE LÄN</t>
        </is>
      </c>
      <c r="G284" t="inlineStr">
        <is>
          <t>KLIPPAN</t>
        </is>
      </c>
      <c r="H284" t="inlineStr">
        <is>
          <t>Övriga Aktiebolag</t>
        </is>
      </c>
      <c r="I284" t="n">
        <v>29.5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110-2023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44936</v>
      </c>
      <c r="E285" s="1" t="n">
        <v>46292</v>
      </c>
      <c r="F285" t="inlineStr">
        <is>
          <t>SKÅNE LÄN</t>
        </is>
      </c>
      <c r="G285" t="inlineStr">
        <is>
          <t>KLIPPAN</t>
        </is>
      </c>
      <c r="I285" t="n">
        <v>26.9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3792-2024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46292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2225-2023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45109</v>
      </c>
      <c r="E287" s="1" t="n">
        <v>46292</v>
      </c>
      <c r="F287" t="inlineStr">
        <is>
          <t>SKÅNE LÄN</t>
        </is>
      </c>
      <c r="G287" t="inlineStr">
        <is>
          <t>KLIPPAN</t>
        </is>
      </c>
      <c r="I287" t="n">
        <v>15.2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5892-2022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44853</v>
      </c>
      <c r="E288" s="1" t="n">
        <v>46292</v>
      </c>
      <c r="F288" t="inlineStr">
        <is>
          <t>SKÅNE LÄN</t>
        </is>
      </c>
      <c r="G288" t="inlineStr">
        <is>
          <t>KLIPPAN</t>
        </is>
      </c>
      <c r="I288" t="n">
        <v>24.6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5986-2022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44859</v>
      </c>
      <c r="E289" s="1" t="n">
        <v>46292</v>
      </c>
      <c r="F289" t="inlineStr">
        <is>
          <t>SKÅNE LÄN</t>
        </is>
      </c>
      <c r="G289" t="inlineStr">
        <is>
          <t>KLIPPAN</t>
        </is>
      </c>
      <c r="I289" t="n">
        <v>19.6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4186-2024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45579</v>
      </c>
      <c r="E290" s="1" t="n">
        <v>46292</v>
      </c>
      <c r="F290" t="inlineStr">
        <is>
          <t>SKÅNE LÄN</t>
        </is>
      </c>
      <c r="G290" t="inlineStr">
        <is>
          <t>KLIPPAN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3806-2024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45558</v>
      </c>
      <c r="E291" s="1" t="n">
        <v>46292</v>
      </c>
      <c r="F291" t="inlineStr">
        <is>
          <t>SKÅNE LÄN</t>
        </is>
      </c>
      <c r="G291" t="inlineStr">
        <is>
          <t>KLIPPAN</t>
        </is>
      </c>
      <c r="H291" t="inlineStr">
        <is>
          <t>Sveaskog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1606-2025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45798</v>
      </c>
      <c r="E292" s="1" t="n">
        <v>46292</v>
      </c>
      <c r="F292" t="inlineStr">
        <is>
          <t>SKÅNE LÄN</t>
        </is>
      </c>
      <c r="G292" t="inlineStr">
        <is>
          <t>KLIPPAN</t>
        </is>
      </c>
      <c r="I292" t="n">
        <v>11.7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45947</v>
      </c>
      <c r="E293" s="1" t="n">
        <v>46292</v>
      </c>
      <c r="F293" t="inlineStr">
        <is>
          <t>SKÅNE LÄN</t>
        </is>
      </c>
      <c r="G293" t="inlineStr">
        <is>
          <t>KLIPPAN</t>
        </is>
      </c>
      <c r="I293" t="n">
        <v>48.2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46034</v>
      </c>
      <c r="E294" s="1" t="n">
        <v>46292</v>
      </c>
      <c r="F294" t="inlineStr">
        <is>
          <t>SKÅNE LÄN</t>
        </is>
      </c>
      <c r="G294" t="inlineStr">
        <is>
          <t>KLIPPAN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166-2026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46044</v>
      </c>
      <c r="E295" s="1" t="n">
        <v>46292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2022-2026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46292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2019-2026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46292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20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2020-2026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46292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30.3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2026-09-27T02:03:36Z</dcterms:created>
  <dcterms:modified xmlns:dcterms="http://purl.org/dc/terms/" xmlns:xsi="http://www.w3.org/2001/XMLSchema-instance" xsi:type="dcterms:W3CDTF">2026-09-27T02:03:37Z</dcterms:modified>
</cp:coreProperties>
</file>