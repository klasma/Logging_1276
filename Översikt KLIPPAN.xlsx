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8641-2025</t>
        </is>
      </c>
      <c r="B2" s="1" t="n">
        <v>45711</v>
      </c>
      <c r="C2" s="1" t="n">
        <v>45734</v>
      </c>
      <c r="D2" t="inlineStr">
        <is>
          <t>SKÅNE LÄN</t>
        </is>
      </c>
      <c r="E2" t="inlineStr">
        <is>
          <t>KLIPPAN</t>
        </is>
      </c>
      <c r="G2" t="n">
        <v>3</v>
      </c>
      <c r="H2" t="n">
        <v>7</v>
      </c>
      <c r="I2" t="n">
        <v>1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Grönfink
Entita
Mindre hackspett
Rödvingetrast
Spillkråka
Blåmossa
Kungsfågel
Revlummer</t>
        </is>
      </c>
      <c r="S2">
        <f>HYPERLINK("https://klasma.github.io/Logging_1276/artfynd/A 8641-2025 artfynd.xlsx", "A 8641-2025")</f>
        <v/>
      </c>
      <c r="T2">
        <f>HYPERLINK("https://klasma.github.io/Logging_1276/kartor/A 8641-2025 karta.png", "A 8641-2025")</f>
        <v/>
      </c>
      <c r="V2">
        <f>HYPERLINK("https://klasma.github.io/Logging_1276/klagomål/A 8641-2025 FSC-klagomål.docx", "A 8641-2025")</f>
        <v/>
      </c>
      <c r="W2">
        <f>HYPERLINK("https://klasma.github.io/Logging_1276/klagomålsmail/A 8641-2025 FSC-klagomål mail.docx", "A 8641-2025")</f>
        <v/>
      </c>
      <c r="X2">
        <f>HYPERLINK("https://klasma.github.io/Logging_1276/tillsyn/A 8641-2025 tillsynsbegäran.docx", "A 8641-2025")</f>
        <v/>
      </c>
      <c r="Y2">
        <f>HYPERLINK("https://klasma.github.io/Logging_1276/tillsynsmail/A 8641-2025 tillsynsbegäran mail.docx", "A 8641-2025")</f>
        <v/>
      </c>
      <c r="Z2">
        <f>HYPERLINK("https://klasma.github.io/Logging_1276/fåglar/A 8641-2025 prioriterade fågelarter.docx", "A 8641-2025")</f>
        <v/>
      </c>
    </row>
    <row r="3" ht="15" customHeight="1">
      <c r="A3" t="inlineStr">
        <is>
          <t>A 28703-2023</t>
        </is>
      </c>
      <c r="B3" s="1" t="n">
        <v>45103</v>
      </c>
      <c r="C3" s="1" t="n">
        <v>45734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Entita
Spillkråka
Blomkålssvamp
Sotriska</t>
        </is>
      </c>
      <c r="S3">
        <f>HYPERLINK("https://klasma.github.io/Logging_1276/artfynd/A 28703-2023 artfynd.xlsx", "A 28703-2023")</f>
        <v/>
      </c>
      <c r="T3">
        <f>HYPERLINK("https://klasma.github.io/Logging_1276/kartor/A 28703-2023 karta.png", "A 28703-2023")</f>
        <v/>
      </c>
      <c r="V3">
        <f>HYPERLINK("https://klasma.github.io/Logging_1276/klagomål/A 28703-2023 FSC-klagomål.docx", "A 28703-2023")</f>
        <v/>
      </c>
      <c r="W3">
        <f>HYPERLINK("https://klasma.github.io/Logging_1276/klagomålsmail/A 28703-2023 FSC-klagomål mail.docx", "A 28703-2023")</f>
        <v/>
      </c>
      <c r="X3">
        <f>HYPERLINK("https://klasma.github.io/Logging_1276/tillsyn/A 28703-2023 tillsynsbegäran.docx", "A 28703-2023")</f>
        <v/>
      </c>
      <c r="Y3">
        <f>HYPERLINK("https://klasma.github.io/Logging_1276/tillsynsmail/A 28703-2023 tillsynsbegäran mail.docx", "A 28703-2023")</f>
        <v/>
      </c>
      <c r="Z3">
        <f>HYPERLINK("https://klasma.github.io/Logging_1276/fåglar/A 28703-2023 prioriterade fågelarter.docx", "A 28703-2023")</f>
        <v/>
      </c>
    </row>
    <row r="4" ht="15" customHeight="1">
      <c r="A4" t="inlineStr">
        <is>
          <t>A 18861-2019</t>
        </is>
      </c>
      <c r="B4" s="1" t="n">
        <v>43563</v>
      </c>
      <c r="C4" s="1" t="n">
        <v>45734</v>
      </c>
      <c r="D4" t="inlineStr">
        <is>
          <t>SKÅNE LÄN</t>
        </is>
      </c>
      <c r="E4" t="inlineStr">
        <is>
          <t>KLIPPAN</t>
        </is>
      </c>
      <c r="G4" t="n">
        <v>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Skogsduva
Trana</t>
        </is>
      </c>
      <c r="S4">
        <f>HYPERLINK("https://klasma.github.io/Logging_1276/artfynd/A 18861-2019 artfynd.xlsx", "A 18861-2019")</f>
        <v/>
      </c>
      <c r="T4">
        <f>HYPERLINK("https://klasma.github.io/Logging_1276/kartor/A 18861-2019 karta.png", "A 18861-2019")</f>
        <v/>
      </c>
      <c r="V4">
        <f>HYPERLINK("https://klasma.github.io/Logging_1276/klagomål/A 18861-2019 FSC-klagomål.docx", "A 18861-2019")</f>
        <v/>
      </c>
      <c r="W4">
        <f>HYPERLINK("https://klasma.github.io/Logging_1276/klagomålsmail/A 18861-2019 FSC-klagomål mail.docx", "A 18861-2019")</f>
        <v/>
      </c>
      <c r="X4">
        <f>HYPERLINK("https://klasma.github.io/Logging_1276/tillsyn/A 18861-2019 tillsynsbegäran.docx", "A 18861-2019")</f>
        <v/>
      </c>
      <c r="Y4">
        <f>HYPERLINK("https://klasma.github.io/Logging_1276/tillsynsmail/A 18861-2019 tillsynsbegäran mail.docx", "A 18861-2019")</f>
        <v/>
      </c>
      <c r="Z4">
        <f>HYPERLINK("https://klasma.github.io/Logging_1276/fåglar/A 18861-2019 prioriterade fågelarter.docx", "A 18861-2019")</f>
        <v/>
      </c>
    </row>
    <row r="5" ht="15" customHeight="1">
      <c r="A5" t="inlineStr">
        <is>
          <t>A 68737-2019</t>
        </is>
      </c>
      <c r="B5" s="1" t="n">
        <v>43819</v>
      </c>
      <c r="C5" s="1" t="n">
        <v>45734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68737-2019 artfynd.xlsx", "A 68737-2019")</f>
        <v/>
      </c>
      <c r="T5">
        <f>HYPERLINK("https://klasma.github.io/Logging_1276/kartor/A 68737-2019 karta.png", "A 68737-2019")</f>
        <v/>
      </c>
      <c r="V5">
        <f>HYPERLINK("https://klasma.github.io/Logging_1276/klagomål/A 68737-2019 FSC-klagomål.docx", "A 68737-2019")</f>
        <v/>
      </c>
      <c r="W5">
        <f>HYPERLINK("https://klasma.github.io/Logging_1276/klagomålsmail/A 68737-2019 FSC-klagomål mail.docx", "A 68737-2019")</f>
        <v/>
      </c>
      <c r="X5">
        <f>HYPERLINK("https://klasma.github.io/Logging_1276/tillsyn/A 68737-2019 tillsynsbegäran.docx", "A 68737-2019")</f>
        <v/>
      </c>
      <c r="Y5">
        <f>HYPERLINK("https://klasma.github.io/Logging_1276/tillsynsmail/A 68737-2019 tillsynsbegäran mail.docx", "A 68737-2019")</f>
        <v/>
      </c>
      <c r="Z5">
        <f>HYPERLINK("https://klasma.github.io/Logging_1276/fåglar/A 68737-2019 prioriterade fågelarter.docx", "A 68737-2019")</f>
        <v/>
      </c>
    </row>
    <row r="6" ht="15" customHeight="1">
      <c r="A6" t="inlineStr">
        <is>
          <t>A 37031-2022</t>
        </is>
      </c>
      <c r="B6" s="1" t="n">
        <v>44806</v>
      </c>
      <c r="C6" s="1" t="n">
        <v>45734</v>
      </c>
      <c r="D6" t="inlineStr">
        <is>
          <t>SKÅNE LÄN</t>
        </is>
      </c>
      <c r="E6" t="inlineStr">
        <is>
          <t>KLIPPAN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Dvärgkällmossa
Västlig husmossa</t>
        </is>
      </c>
      <c r="S6">
        <f>HYPERLINK("https://klasma.github.io/Logging_1276/artfynd/A 37031-2022 artfynd.xlsx", "A 37031-2022")</f>
        <v/>
      </c>
      <c r="T6">
        <f>HYPERLINK("https://klasma.github.io/Logging_1276/kartor/A 37031-2022 karta.png", "A 37031-2022")</f>
        <v/>
      </c>
      <c r="V6">
        <f>HYPERLINK("https://klasma.github.io/Logging_1276/klagomål/A 37031-2022 FSC-klagomål.docx", "A 37031-2022")</f>
        <v/>
      </c>
      <c r="W6">
        <f>HYPERLINK("https://klasma.github.io/Logging_1276/klagomålsmail/A 37031-2022 FSC-klagomål mail.docx", "A 37031-2022")</f>
        <v/>
      </c>
      <c r="X6">
        <f>HYPERLINK("https://klasma.github.io/Logging_1276/tillsyn/A 37031-2022 tillsynsbegäran.docx", "A 37031-2022")</f>
        <v/>
      </c>
      <c r="Y6">
        <f>HYPERLINK("https://klasma.github.io/Logging_1276/tillsynsmail/A 37031-2022 tillsynsbegäran mail.docx", "A 37031-2022")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45734</v>
      </c>
      <c r="D7" t="inlineStr">
        <is>
          <t>SKÅNE LÄN</t>
        </is>
      </c>
      <c r="E7" t="inlineStr">
        <is>
          <t>KLIPPAN</t>
        </is>
      </c>
      <c r="G7" t="n">
        <v>9.6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2762-2024</t>
        </is>
      </c>
      <c r="B8" s="1" t="n">
        <v>45314</v>
      </c>
      <c r="C8" s="1" t="n">
        <v>45734</v>
      </c>
      <c r="D8" t="inlineStr">
        <is>
          <t>SKÅNE LÄN</t>
        </is>
      </c>
      <c r="E8" t="inlineStr">
        <is>
          <t>KLIPPAN</t>
        </is>
      </c>
      <c r="G8" t="n">
        <v>19.6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Grönsiska</t>
        </is>
      </c>
      <c r="S8">
        <f>HYPERLINK("https://klasma.github.io/Logging_1276/artfynd/A 2762-2024 artfynd.xlsx", "A 2762-2024")</f>
        <v/>
      </c>
      <c r="T8">
        <f>HYPERLINK("https://klasma.github.io/Logging_1276/kartor/A 2762-2024 karta.png", "A 2762-2024")</f>
        <v/>
      </c>
      <c r="V8">
        <f>HYPERLINK("https://klasma.github.io/Logging_1276/klagomål/A 2762-2024 FSC-klagomål.docx", "A 2762-2024")</f>
        <v/>
      </c>
      <c r="W8">
        <f>HYPERLINK("https://klasma.github.io/Logging_1276/klagomålsmail/A 2762-2024 FSC-klagomål mail.docx", "A 2762-2024")</f>
        <v/>
      </c>
      <c r="X8">
        <f>HYPERLINK("https://klasma.github.io/Logging_1276/tillsyn/A 2762-2024 tillsynsbegäran.docx", "A 2762-2024")</f>
        <v/>
      </c>
      <c r="Y8">
        <f>HYPERLINK("https://klasma.github.io/Logging_1276/tillsynsmail/A 2762-2024 tillsynsbegäran mail.docx", "A 2762-2024")</f>
        <v/>
      </c>
      <c r="Z8">
        <f>HYPERLINK("https://klasma.github.io/Logging_1276/fåglar/A 2762-2024 prioriterade fågelarter.docx", "A 2762-2024")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45734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45734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45734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45734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45734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45734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45734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33889-2019</t>
        </is>
      </c>
      <c r="B16" s="1" t="n">
        <v>43653</v>
      </c>
      <c r="C16" s="1" t="n">
        <v>45734</v>
      </c>
      <c r="D16" t="inlineStr">
        <is>
          <t>SKÅNE LÄN</t>
        </is>
      </c>
      <c r="E16" t="inlineStr">
        <is>
          <t>KLIPPAN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HYPERLINK("https://klasma.github.io/Logging_1276/artfynd/A 33889-2019 artfynd.xlsx", "A 33889-2019")</f>
        <v/>
      </c>
      <c r="T16">
        <f>HYPERLINK("https://klasma.github.io/Logging_1276/kartor/A 33889-2019 karta.png", "A 33889-2019")</f>
        <v/>
      </c>
      <c r="V16">
        <f>HYPERLINK("https://klasma.github.io/Logging_1276/klagomål/A 33889-2019 FSC-klagomål.docx", "A 33889-2019")</f>
        <v/>
      </c>
      <c r="W16">
        <f>HYPERLINK("https://klasma.github.io/Logging_1276/klagomålsmail/A 33889-2019 FSC-klagomål mail.docx", "A 33889-2019")</f>
        <v/>
      </c>
      <c r="X16">
        <f>HYPERLINK("https://klasma.github.io/Logging_1276/tillsyn/A 33889-2019 tillsynsbegäran.docx", "A 33889-2019")</f>
        <v/>
      </c>
      <c r="Y16">
        <f>HYPERLINK("https://klasma.github.io/Logging_1276/tillsynsmail/A 33889-2019 tillsynsbegäran mail.docx", "A 33889-2019")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45734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30721-2021</t>
        </is>
      </c>
      <c r="B18" s="1" t="n">
        <v>44365</v>
      </c>
      <c r="C18" s="1" t="n">
        <v>45734</v>
      </c>
      <c r="D18" t="inlineStr">
        <is>
          <t>SKÅNE LÄN</t>
        </is>
      </c>
      <c r="E18" t="inlineStr">
        <is>
          <t>KLIPPAN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HYPERLINK("https://klasma.github.io/Logging_1276/artfynd/A 30721-2021 artfynd.xlsx", "A 30721-2021")</f>
        <v/>
      </c>
      <c r="T18">
        <f>HYPERLINK("https://klasma.github.io/Logging_1276/kartor/A 30721-2021 karta.png", "A 30721-2021")</f>
        <v/>
      </c>
      <c r="V18">
        <f>HYPERLINK("https://klasma.github.io/Logging_1276/klagomål/A 30721-2021 FSC-klagomål.docx", "A 30721-2021")</f>
        <v/>
      </c>
      <c r="W18">
        <f>HYPERLINK("https://klasma.github.io/Logging_1276/klagomålsmail/A 30721-2021 FSC-klagomål mail.docx", "A 30721-2021")</f>
        <v/>
      </c>
      <c r="X18">
        <f>HYPERLINK("https://klasma.github.io/Logging_1276/tillsyn/A 30721-2021 tillsynsbegäran.docx", "A 30721-2021")</f>
        <v/>
      </c>
      <c r="Y18">
        <f>HYPERLINK("https://klasma.github.io/Logging_1276/tillsynsmail/A 30721-2021 tillsynsbegäran mail.docx", "A 30721-2021")</f>
        <v/>
      </c>
    </row>
    <row r="19" ht="15" customHeight="1">
      <c r="A19" t="inlineStr">
        <is>
          <t>A 57968-2021</t>
        </is>
      </c>
      <c r="B19" s="1" t="n">
        <v>44487</v>
      </c>
      <c r="C19" s="1" t="n">
        <v>45734</v>
      </c>
      <c r="D19" t="inlineStr">
        <is>
          <t>SKÅNE LÄN</t>
        </is>
      </c>
      <c r="E19" t="inlineStr">
        <is>
          <t>KLIPPAN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Kösa</t>
        </is>
      </c>
      <c r="S19">
        <f>HYPERLINK("https://klasma.github.io/Logging_1276/artfynd/A 57968-2021 artfynd.xlsx", "A 57968-2021")</f>
        <v/>
      </c>
      <c r="T19">
        <f>HYPERLINK("https://klasma.github.io/Logging_1276/kartor/A 57968-2021 karta.png", "A 57968-2021")</f>
        <v/>
      </c>
      <c r="V19">
        <f>HYPERLINK("https://klasma.github.io/Logging_1276/klagomål/A 57968-2021 FSC-klagomål.docx", "A 57968-2021")</f>
        <v/>
      </c>
      <c r="W19">
        <f>HYPERLINK("https://klasma.github.io/Logging_1276/klagomålsmail/A 57968-2021 FSC-klagomål mail.docx", "A 57968-2021")</f>
        <v/>
      </c>
      <c r="X19">
        <f>HYPERLINK("https://klasma.github.io/Logging_1276/tillsyn/A 57968-2021 tillsynsbegäran.docx", "A 57968-2021")</f>
        <v/>
      </c>
      <c r="Y19">
        <f>HYPERLINK("https://klasma.github.io/Logging_1276/tillsynsmail/A 57968-2021 tillsynsbegäran mail.docx", "A 57968-2021")</f>
        <v/>
      </c>
    </row>
    <row r="20" ht="15" customHeight="1">
      <c r="A20" t="inlineStr">
        <is>
          <t>A 5732-2022</t>
        </is>
      </c>
      <c r="B20" s="1" t="n">
        <v>44596</v>
      </c>
      <c r="C20" s="1" t="n">
        <v>45734</v>
      </c>
      <c r="D20" t="inlineStr">
        <is>
          <t>SKÅNE LÄN</t>
        </is>
      </c>
      <c r="E20" t="inlineStr">
        <is>
          <t>KLIPPAN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HYPERLINK("https://klasma.github.io/Logging_1276/artfynd/A 5732-2022 artfynd.xlsx", "A 5732-2022")</f>
        <v/>
      </c>
      <c r="T20">
        <f>HYPERLINK("https://klasma.github.io/Logging_1276/kartor/A 5732-2022 karta.png", "A 5732-2022")</f>
        <v/>
      </c>
      <c r="V20">
        <f>HYPERLINK("https://klasma.github.io/Logging_1276/klagomål/A 5732-2022 FSC-klagomål.docx", "A 5732-2022")</f>
        <v/>
      </c>
      <c r="W20">
        <f>HYPERLINK("https://klasma.github.io/Logging_1276/klagomålsmail/A 5732-2022 FSC-klagomål mail.docx", "A 5732-2022")</f>
        <v/>
      </c>
      <c r="X20">
        <f>HYPERLINK("https://klasma.github.io/Logging_1276/tillsyn/A 5732-2022 tillsynsbegäran.docx", "A 5732-2022")</f>
        <v/>
      </c>
      <c r="Y20">
        <f>HYPERLINK("https://klasma.github.io/Logging_1276/tillsynsmail/A 5732-2022 tillsynsbegäran mail.docx", "A 5732-2022")</f>
        <v/>
      </c>
      <c r="Z20">
        <f>HYPERLINK("https://klasma.github.io/Logging_1276/fåglar/A 5732-2022 prioriterade fågelarter.docx", "A 5732-2022")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45734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24650-2023</t>
        </is>
      </c>
      <c r="B22" s="1" t="n">
        <v>45084</v>
      </c>
      <c r="C22" s="1" t="n">
        <v>45734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10.1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HYPERLINK("https://klasma.github.io/Logging_1276/artfynd/A 24650-2023 artfynd.xlsx", "A 24650-2023")</f>
        <v/>
      </c>
      <c r="T22">
        <f>HYPERLINK("https://klasma.github.io/Logging_1276/kartor/A 24650-2023 karta.png", "A 24650-2023")</f>
        <v/>
      </c>
      <c r="V22">
        <f>HYPERLINK("https://klasma.github.io/Logging_1276/klagomål/A 24650-2023 FSC-klagomål.docx", "A 24650-2023")</f>
        <v/>
      </c>
      <c r="W22">
        <f>HYPERLINK("https://klasma.github.io/Logging_1276/klagomålsmail/A 24650-2023 FSC-klagomål mail.docx", "A 24650-2023")</f>
        <v/>
      </c>
      <c r="X22">
        <f>HYPERLINK("https://klasma.github.io/Logging_1276/tillsyn/A 24650-2023 tillsynsbegäran.docx", "A 24650-2023")</f>
        <v/>
      </c>
      <c r="Y22">
        <f>HYPERLINK("https://klasma.github.io/Logging_1276/tillsynsmail/A 24650-2023 tillsynsbegäran mail.docx", "A 24650-2023")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45734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61690-2023</t>
        </is>
      </c>
      <c r="B24" s="1" t="n">
        <v>45264</v>
      </c>
      <c r="C24" s="1" t="n">
        <v>45734</v>
      </c>
      <c r="D24" t="inlineStr">
        <is>
          <t>SKÅNE LÄN</t>
        </is>
      </c>
      <c r="E24" t="inlineStr">
        <is>
          <t>KLIPPAN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61690-2023 artfynd.xlsx", "A 61690-2023")</f>
        <v/>
      </c>
      <c r="T24">
        <f>HYPERLINK("https://klasma.github.io/Logging_1276/kartor/A 61690-2023 karta.png", "A 61690-2023")</f>
        <v/>
      </c>
      <c r="V24">
        <f>HYPERLINK("https://klasma.github.io/Logging_1276/klagomål/A 61690-2023 FSC-klagomål.docx", "A 61690-2023")</f>
        <v/>
      </c>
      <c r="W24">
        <f>HYPERLINK("https://klasma.github.io/Logging_1276/klagomålsmail/A 61690-2023 FSC-klagomål mail.docx", "A 61690-2023")</f>
        <v/>
      </c>
      <c r="X24">
        <f>HYPERLINK("https://klasma.github.io/Logging_1276/tillsyn/A 61690-2023 tillsynsbegäran.docx", "A 61690-2023")</f>
        <v/>
      </c>
      <c r="Y24">
        <f>HYPERLINK("https://klasma.github.io/Logging_1276/tillsynsmail/A 61690-2023 tillsynsbegäran mail.docx", "A 61690-2023")</f>
        <v/>
      </c>
      <c r="Z24">
        <f>HYPERLINK("https://klasma.github.io/Logging_1276/fåglar/A 61690-2023 prioriterade fågelarter.docx", "A 61690-2023")</f>
        <v/>
      </c>
    </row>
    <row r="25" ht="15" customHeight="1">
      <c r="A25" t="inlineStr">
        <is>
          <t>A 5797-2024</t>
        </is>
      </c>
      <c r="B25" s="1" t="n">
        <v>45335</v>
      </c>
      <c r="C25" s="1" t="n">
        <v>45734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5797-2024 artfynd.xlsx", "A 5797-2024")</f>
        <v/>
      </c>
      <c r="T25">
        <f>HYPERLINK("https://klasma.github.io/Logging_1276/kartor/A 5797-2024 karta.png", "A 5797-2024")</f>
        <v/>
      </c>
      <c r="V25">
        <f>HYPERLINK("https://klasma.github.io/Logging_1276/klagomål/A 5797-2024 FSC-klagomål.docx", "A 5797-2024")</f>
        <v/>
      </c>
      <c r="W25">
        <f>HYPERLINK("https://klasma.github.io/Logging_1276/klagomålsmail/A 5797-2024 FSC-klagomål mail.docx", "A 5797-2024")</f>
        <v/>
      </c>
      <c r="X25">
        <f>HYPERLINK("https://klasma.github.io/Logging_1276/tillsyn/A 5797-2024 tillsynsbegäran.docx", "A 5797-2024")</f>
        <v/>
      </c>
      <c r="Y25">
        <f>HYPERLINK("https://klasma.github.io/Logging_1276/tillsynsmail/A 5797-2024 tillsynsbegäran mail.docx", "A 5797-2024")</f>
        <v/>
      </c>
      <c r="Z25">
        <f>HYPERLINK("https://klasma.github.io/Logging_1276/fåglar/A 5797-2024 prioriterade fågelarter.docx", "A 5797-2024")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45734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45734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45734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45734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45734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45734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45734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45734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45734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45734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45734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45734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45734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45734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45734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45734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45734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45734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45734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45734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45734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45734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45734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45734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45734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45734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45734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45734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45734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45734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45734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45734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45734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45734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45734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45734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45734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45734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45734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45734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45734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45734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45734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45734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45734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45734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45734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45734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45734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45734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45734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45734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45734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45734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45734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45734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45734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45734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45734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45734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45734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45734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45734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45734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45734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45734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45734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45734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45734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45734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45734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45734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45734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45734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45734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45734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45734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45734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45734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45734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45734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45734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45734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45734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45734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45734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45734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45734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45734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45734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45734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45734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45734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45734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45734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45734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45734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45734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45734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45734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45734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45734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45734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45734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45734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45734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45734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45734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45734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45734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45734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45734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45734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45734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45734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45734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45734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45734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45734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45734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45734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45734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45734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45734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45734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45734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45734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45734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45734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45734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45734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45734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45734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45734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45734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45734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45734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45734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45734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45734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45734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45734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45734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45734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45734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45734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45734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45734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45734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45734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45734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45734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45734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45734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45734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45734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45734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45734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45734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45734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45734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45734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45734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45734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45734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45734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45734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45734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45734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45734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45734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45734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45734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45734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45734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45734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45734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45734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45734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45734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45734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45734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45734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45734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45734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45734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45734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45734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45734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45734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45734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45734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45734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45734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45734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45734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45734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45734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45734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45734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45734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45734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45734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45734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45734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45734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45734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45734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45734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45734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45734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45734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45734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45734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45734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45734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45734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45734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45734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45734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45734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45734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45734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45734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45734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45734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45734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45734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45734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45734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45734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45734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45734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45734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45734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45734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45734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45734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45734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45734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45734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45734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45734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45734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45734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45734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45734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45734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45734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45734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45734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45734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45734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45734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45734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45734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45734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45734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45734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45734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45734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45734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45734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45734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45734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45734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45734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45734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45734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45734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45734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45734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45734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45734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45734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45734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45734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45734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45734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45734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45734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45734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45734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45734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45734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45734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45734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45734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45734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45734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45734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45734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45734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45734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45734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45734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45734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45734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45734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45734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45734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45734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45734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45734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45734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45734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45734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45734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45734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45734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45734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45734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45734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45734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45734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45734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45734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45734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45734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45734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45734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45734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45734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45734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45734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45734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45734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45734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45734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45734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45734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45734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45734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45734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45734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45734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45734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45734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45734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45734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45734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45734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45734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45734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45734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45734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45734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45734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45734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45734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45734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45734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45734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45734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45734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45734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45734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45734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45734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45734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45734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45734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45734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45734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45734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45734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45734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45734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45734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45734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45734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45734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45734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45734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45734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45734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45734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45734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45734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45734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45734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45734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45734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45734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45734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45734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45734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45734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45734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45734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45734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45734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45734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45734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45734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45734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45734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45734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45734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45734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45734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45734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45734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45734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45734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45734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45734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45734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7661-2025</t>
        </is>
      </c>
      <c r="B434" s="1" t="n">
        <v>45706</v>
      </c>
      <c r="C434" s="1" t="n">
        <v>45734</v>
      </c>
      <c r="D434" t="inlineStr">
        <is>
          <t>SKÅNE LÄN</t>
        </is>
      </c>
      <c r="E434" t="inlineStr">
        <is>
          <t>KLIPPAN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7659-2025</t>
        </is>
      </c>
      <c r="B435" s="1" t="n">
        <v>45706</v>
      </c>
      <c r="C435" s="1" t="n">
        <v>45734</v>
      </c>
      <c r="D435" t="inlineStr">
        <is>
          <t>SKÅNE LÄN</t>
        </is>
      </c>
      <c r="E435" t="inlineStr">
        <is>
          <t>KLIPPAN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45734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45734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45734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45734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45734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45734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11857-2025</t>
        </is>
      </c>
      <c r="B442" s="1" t="n">
        <v>45728</v>
      </c>
      <c r="C442" s="1" t="n">
        <v>45734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2025-03-18T15:26:16Z</dcterms:created>
  <dcterms:modified xmlns:dcterms="http://purl.org/dc/terms/" xmlns:xsi="http://www.w3.org/2001/XMLSchema-instance" xsi:type="dcterms:W3CDTF">2025-03-18T15:26:16Z</dcterms:modified>
</cp:coreProperties>
</file>