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46262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46262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46262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46262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46262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46262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46262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46262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46262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46262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46262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46262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46262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46262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46262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46262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46262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46262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46262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46262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46262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46262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46262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46262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Rutskinn</t>
        </is>
      </c>
      <c r="W31">
        <f>HYPERLINK("https://klasma.github.io/Logging_1276/artfynd/A 51276-2024 artfynd.xlsx", "A 51276-2024")</f>
        <v/>
      </c>
      <c r="X31">
        <f>HYPERLINK("https://klasma.github.io/Logging_1276/kartor/A 51276-2024 karta.png", "A 51276-2024")</f>
        <v/>
      </c>
      <c r="Y31">
        <f>HYPERLINK("https://klasma.github.io/Logging_1276/kartor_geotiff/A 51276-2024 georefererad karta.tif", "A 51276-2024")</f>
        <v/>
      </c>
      <c r="AA31">
        <f>HYPERLINK("https://klasma.github.io/Logging_1276/klagomål/A 51276-2024 FSC-klagomål.docx", "A 51276-2024")</f>
        <v/>
      </c>
      <c r="AB31">
        <f>HYPERLINK("https://klasma.github.io/Logging_1276/klagomålsmail/A 51276-2024 FSC-klagomål mail.docx", "A 51276-2024")</f>
        <v/>
      </c>
      <c r="AC31">
        <f>HYPERLINK("https://klasma.github.io/Logging_1276/tillsyn/A 51276-2024 tillsynsbegäran.docx", "A 51276-2024")</f>
        <v/>
      </c>
      <c r="AD31">
        <f>HYPERLINK("https://klasma.github.io/Logging_1276/tillsynsmail/A 51276-2024 tillsynsbegäran mail.docx", "A 51276-2024")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46262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46262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46262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46262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46262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61049-2025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46262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61049-2025 artfynd.xlsx", "A 61049-2025")</f>
        <v/>
      </c>
      <c r="X37">
        <f>HYPERLINK("https://klasma.github.io/Logging_1276/kartor/A 61049-2025 karta.png", "A 61049-2025")</f>
        <v/>
      </c>
      <c r="Y37">
        <f>HYPERLINK("https://klasma.github.io/Logging_1276/kartor_geotiff/A 61049-2025 georefererad karta.tif", "A 61049-2025")</f>
        <v/>
      </c>
      <c r="AA37">
        <f>HYPERLINK("https://klasma.github.io/Logging_1276/klagomål/A 61049-2025 FSC-klagomål.docx", "A 61049-2025")</f>
        <v/>
      </c>
      <c r="AB37">
        <f>HYPERLINK("https://klasma.github.io/Logging_1276/klagomålsmail/A 61049-2025 FSC-klagomål mail.docx", "A 61049-2025")</f>
        <v/>
      </c>
      <c r="AC37">
        <f>HYPERLINK("https://klasma.github.io/Logging_1276/tillsyn/A 61049-2025 tillsynsbegäran.docx", "A 61049-2025")</f>
        <v/>
      </c>
      <c r="AD37">
        <f>HYPERLINK("https://klasma.github.io/Logging_1276/tillsynsmail/A 61049-2025 tillsynsbegäran mail.docx", "A 61049-2025")</f>
        <v/>
      </c>
      <c r="AE37">
        <f>HYPERLINK("https://klasma.github.io/Logging_1276/fåglar/A 61049-2025 prioriterade fågelarter.docx", "A 61049-2025")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46262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46262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46262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46262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46262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46262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46262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46262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46262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46262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46262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58633-2021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46262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46262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46262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46262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46262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46262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46262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46262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46262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46262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46262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46262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46262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46262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46262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46262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46262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46262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46262</v>
      </c>
      <c r="F71" t="inlineStr">
        <is>
          <t>SKÅNE LÄN</t>
        </is>
      </c>
      <c r="G71" t="inlineStr">
        <is>
          <t>KLIPPAN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45349</v>
      </c>
      <c r="E72" s="1" t="n">
        <v>46262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46262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46262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46262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46262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55613-2022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46262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46262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46262</v>
      </c>
      <c r="F79" t="inlineStr">
        <is>
          <t>SKÅNE LÄN</t>
        </is>
      </c>
      <c r="G79" t="inlineStr">
        <is>
          <t>KLIPPAN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46262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46262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44930</v>
      </c>
      <c r="E82" s="1" t="n">
        <v>46262</v>
      </c>
      <c r="F82" t="inlineStr">
        <is>
          <t>SKÅNE LÄN</t>
        </is>
      </c>
      <c r="G82" t="inlineStr">
        <is>
          <t>KLIPPAN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45519</v>
      </c>
      <c r="E83" s="1" t="n">
        <v>46262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45573</v>
      </c>
      <c r="E84" s="1" t="n">
        <v>46262</v>
      </c>
      <c r="F84" t="inlineStr">
        <is>
          <t>SKÅNE LÄN</t>
        </is>
      </c>
      <c r="G84" t="inlineStr">
        <is>
          <t>KLIPPAN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46262</v>
      </c>
      <c r="F85" t="inlineStr">
        <is>
          <t>SKÅNE LÄN</t>
        </is>
      </c>
      <c r="G85" t="inlineStr">
        <is>
          <t>KLIPPAN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45328</v>
      </c>
      <c r="E86" s="1" t="n">
        <v>46262</v>
      </c>
      <c r="F86" t="inlineStr">
        <is>
          <t>SKÅNE LÄN</t>
        </is>
      </c>
      <c r="G86" t="inlineStr">
        <is>
          <t>KLIPPAN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44531</v>
      </c>
      <c r="E87" s="1" t="n">
        <v>46262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44838</v>
      </c>
      <c r="E88" s="1" t="n">
        <v>46262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46262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46262</v>
      </c>
      <c r="F90" t="inlineStr">
        <is>
          <t>SKÅNE LÄN</t>
        </is>
      </c>
      <c r="G90" t="inlineStr">
        <is>
          <t>KLIPPAN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46262</v>
      </c>
      <c r="F91" t="inlineStr">
        <is>
          <t>SKÅNE LÄN</t>
        </is>
      </c>
      <c r="G91" t="inlineStr">
        <is>
          <t>KLIPPAN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58642-2021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46262</v>
      </c>
      <c r="F92" t="inlineStr">
        <is>
          <t>SKÅNE LÄN</t>
        </is>
      </c>
      <c r="G92" t="inlineStr">
        <is>
          <t>KLIPPAN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45972</v>
      </c>
      <c r="E93" s="1" t="n">
        <v>46262</v>
      </c>
      <c r="F93" t="inlineStr">
        <is>
          <t>SKÅNE LÄN</t>
        </is>
      </c>
      <c r="G93" t="inlineStr">
        <is>
          <t>KLIPPAN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46262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46262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27898-2025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46262</v>
      </c>
      <c r="F96" t="inlineStr">
        <is>
          <t>SKÅNE LÄN</t>
        </is>
      </c>
      <c r="G96" t="inlineStr">
        <is>
          <t>KLIPPAN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46262</v>
      </c>
      <c r="F97" t="inlineStr">
        <is>
          <t>SKÅNE LÄN</t>
        </is>
      </c>
      <c r="G97" t="inlineStr">
        <is>
          <t>KLIPPAN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46262</v>
      </c>
      <c r="F98" t="inlineStr">
        <is>
          <t>SKÅNE LÄN</t>
        </is>
      </c>
      <c r="G98" t="inlineStr">
        <is>
          <t>KLIPPAN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45094</v>
      </c>
      <c r="E99" s="1" t="n">
        <v>46262</v>
      </c>
      <c r="F99" t="inlineStr">
        <is>
          <t>SKÅNE LÄN</t>
        </is>
      </c>
      <c r="G99" t="inlineStr">
        <is>
          <t>KLIPPAN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46262</v>
      </c>
      <c r="F100" t="inlineStr">
        <is>
          <t>SKÅNE LÄN</t>
        </is>
      </c>
      <c r="G100" t="inlineStr">
        <is>
          <t>KLIPPAN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46262</v>
      </c>
      <c r="F101" t="inlineStr">
        <is>
          <t>SKÅNE LÄN</t>
        </is>
      </c>
      <c r="G101" t="inlineStr">
        <is>
          <t>KLIPPAN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46262</v>
      </c>
      <c r="F102" t="inlineStr">
        <is>
          <t>SKÅNE LÄN</t>
        </is>
      </c>
      <c r="G102" t="inlineStr">
        <is>
          <t>KLIPPAN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29284-2025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45824</v>
      </c>
      <c r="E103" s="1" t="n">
        <v>46262</v>
      </c>
      <c r="F103" t="inlineStr">
        <is>
          <t>SKÅNE LÄN</t>
        </is>
      </c>
      <c r="G103" t="inlineStr">
        <is>
          <t>KLIPPAN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46262</v>
      </c>
      <c r="F104" t="inlineStr">
        <is>
          <t>SKÅNE LÄN</t>
        </is>
      </c>
      <c r="G104" t="inlineStr">
        <is>
          <t>KLIPPAN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46262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46262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46262</v>
      </c>
      <c r="F107" t="inlineStr">
        <is>
          <t>SKÅNE LÄN</t>
        </is>
      </c>
      <c r="G107" t="inlineStr">
        <is>
          <t>KLIPPAN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46262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60791-2023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45260</v>
      </c>
      <c r="E109" s="1" t="n">
        <v>46262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46262</v>
      </c>
      <c r="F110" t="inlineStr">
        <is>
          <t>SKÅNE LÄN</t>
        </is>
      </c>
      <c r="G110" t="inlineStr">
        <is>
          <t>KLIPPAN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46262</v>
      </c>
      <c r="F111" t="inlineStr">
        <is>
          <t>SKÅNE LÄN</t>
        </is>
      </c>
      <c r="G111" t="inlineStr">
        <is>
          <t>KLIPPAN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46262</v>
      </c>
      <c r="F112" t="inlineStr">
        <is>
          <t>SKÅNE LÄN</t>
        </is>
      </c>
      <c r="G112" t="inlineStr">
        <is>
          <t>KLIPPAN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46262</v>
      </c>
      <c r="F113" t="inlineStr">
        <is>
          <t>SKÅNE LÄN</t>
        </is>
      </c>
      <c r="G113" t="inlineStr">
        <is>
          <t>KLIPPAN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46262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46262</v>
      </c>
      <c r="F115" t="inlineStr">
        <is>
          <t>SKÅNE LÄN</t>
        </is>
      </c>
      <c r="G115" t="inlineStr">
        <is>
          <t>KLIPPAN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46262</v>
      </c>
      <c r="F116" t="inlineStr">
        <is>
          <t>SKÅNE LÄN</t>
        </is>
      </c>
      <c r="G116" t="inlineStr">
        <is>
          <t>KLIPPAN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46262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45419</v>
      </c>
      <c r="E118" s="1" t="n">
        <v>46262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45739</v>
      </c>
      <c r="E119" s="1" t="n">
        <v>46262</v>
      </c>
      <c r="F119" t="inlineStr">
        <is>
          <t>SKÅNE LÄN</t>
        </is>
      </c>
      <c r="G119" t="inlineStr">
        <is>
          <t>KLIPPAN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46262</v>
      </c>
      <c r="F120" t="inlineStr">
        <is>
          <t>SKÅNE LÄN</t>
        </is>
      </c>
      <c r="G120" t="inlineStr">
        <is>
          <t>KLIPPAN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46262</v>
      </c>
      <c r="F121" t="inlineStr">
        <is>
          <t>SKÅNE LÄN</t>
        </is>
      </c>
      <c r="G121" t="inlineStr">
        <is>
          <t>KLIPPAN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46262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46262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45055</v>
      </c>
      <c r="E124" s="1" t="n">
        <v>46262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46262</v>
      </c>
      <c r="F125" t="inlineStr">
        <is>
          <t>SKÅNE LÄN</t>
        </is>
      </c>
      <c r="G125" t="inlineStr">
        <is>
          <t>KLIPPAN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46262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46262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46262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46262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46262</v>
      </c>
      <c r="F130" t="inlineStr">
        <is>
          <t>SKÅNE LÄN</t>
        </is>
      </c>
      <c r="G130" t="inlineStr">
        <is>
          <t>KLIPPAN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46262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46262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46262</v>
      </c>
      <c r="F133" t="inlineStr">
        <is>
          <t>SKÅNE LÄN</t>
        </is>
      </c>
      <c r="G133" t="inlineStr">
        <is>
          <t>KLIPPAN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54348-2022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46262</v>
      </c>
      <c r="F134" t="inlineStr">
        <is>
          <t>SKÅNE LÄN</t>
        </is>
      </c>
      <c r="G134" t="inlineStr">
        <is>
          <t>KLIPPAN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46262</v>
      </c>
      <c r="F135" t="inlineStr">
        <is>
          <t>SKÅNE LÄN</t>
        </is>
      </c>
      <c r="G135" t="inlineStr">
        <is>
          <t>KLIPPAN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46049</v>
      </c>
      <c r="E136" s="1" t="n">
        <v>46262</v>
      </c>
      <c r="F136" t="inlineStr">
        <is>
          <t>SKÅNE LÄN</t>
        </is>
      </c>
      <c r="G136" t="inlineStr">
        <is>
          <t>KLIPPAN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46262</v>
      </c>
      <c r="F137" t="inlineStr">
        <is>
          <t>SKÅNE LÄN</t>
        </is>
      </c>
      <c r="G137" t="inlineStr">
        <is>
          <t>KLIPPAN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55833-2023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45239</v>
      </c>
      <c r="E138" s="1" t="n">
        <v>46262</v>
      </c>
      <c r="F138" t="inlineStr">
        <is>
          <t>SKÅNE LÄN</t>
        </is>
      </c>
      <c r="G138" t="inlineStr">
        <is>
          <t>KLIPPAN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45055</v>
      </c>
      <c r="E139" s="1" t="n">
        <v>46262</v>
      </c>
      <c r="F139" t="inlineStr">
        <is>
          <t>SKÅNE LÄN</t>
        </is>
      </c>
      <c r="G139" t="inlineStr">
        <is>
          <t>KLIPPAN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46262</v>
      </c>
      <c r="F140" t="inlineStr">
        <is>
          <t>SKÅNE LÄN</t>
        </is>
      </c>
      <c r="G140" t="inlineStr">
        <is>
          <t>KLIPPAN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46262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46262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46262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46262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46262</v>
      </c>
      <c r="F145" t="inlineStr">
        <is>
          <t>SKÅNE LÄN</t>
        </is>
      </c>
      <c r="G145" t="inlineStr">
        <is>
          <t>KLIPPAN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46262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46262</v>
      </c>
      <c r="F147" t="inlineStr">
        <is>
          <t>SKÅNE LÄN</t>
        </is>
      </c>
      <c r="G147" t="inlineStr">
        <is>
          <t>KLIPPAN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46262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46071</v>
      </c>
      <c r="E149" s="1" t="n">
        <v>46262</v>
      </c>
      <c r="F149" t="inlineStr">
        <is>
          <t>SKÅNE LÄN</t>
        </is>
      </c>
      <c r="G149" t="inlineStr">
        <is>
          <t>KLIPPAN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46262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46728-2023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45198</v>
      </c>
      <c r="E151" s="1" t="n">
        <v>46262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46262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41294-2022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46262</v>
      </c>
      <c r="F153" t="inlineStr">
        <is>
          <t>SKÅNE LÄN</t>
        </is>
      </c>
      <c r="G153" t="inlineStr">
        <is>
          <t>KLIPPAN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46262</v>
      </c>
      <c r="F154" t="inlineStr">
        <is>
          <t>SKÅNE LÄN</t>
        </is>
      </c>
      <c r="G154" t="inlineStr">
        <is>
          <t>KLIPPAN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46262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46262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46262</v>
      </c>
      <c r="F157" t="inlineStr">
        <is>
          <t>SKÅNE LÄN</t>
        </is>
      </c>
      <c r="G157" t="inlineStr">
        <is>
          <t>KLIPPAN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46262</v>
      </c>
      <c r="F158" t="inlineStr">
        <is>
          <t>SKÅNE LÄN</t>
        </is>
      </c>
      <c r="G158" t="inlineStr">
        <is>
          <t>KLIPPAN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46262</v>
      </c>
      <c r="F159" t="inlineStr">
        <is>
          <t>SKÅNE LÄN</t>
        </is>
      </c>
      <c r="G159" t="inlineStr">
        <is>
          <t>KLIPPAN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46262</v>
      </c>
      <c r="F160" t="inlineStr">
        <is>
          <t>SKÅNE LÄN</t>
        </is>
      </c>
      <c r="G160" t="inlineStr">
        <is>
          <t>KLIPPAN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46101</v>
      </c>
      <c r="E161" s="1" t="n">
        <v>46262</v>
      </c>
      <c r="F161" t="inlineStr">
        <is>
          <t>SKÅNE LÄN</t>
        </is>
      </c>
      <c r="G161" t="inlineStr">
        <is>
          <t>KLIPPAN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46262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46262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46262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46262</v>
      </c>
      <c r="F165" t="inlineStr">
        <is>
          <t>SKÅNE LÄN</t>
        </is>
      </c>
      <c r="G165" t="inlineStr">
        <is>
          <t>KLIPPAN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69041-2021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44529</v>
      </c>
      <c r="E166" s="1" t="n">
        <v>46262</v>
      </c>
      <c r="F166" t="inlineStr">
        <is>
          <t>SKÅNE LÄN</t>
        </is>
      </c>
      <c r="G166" t="inlineStr">
        <is>
          <t>KLIPPAN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46262</v>
      </c>
      <c r="F167" t="inlineStr">
        <is>
          <t>SKÅNE LÄN</t>
        </is>
      </c>
      <c r="G167" t="inlineStr">
        <is>
          <t>KLIPPAN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44475</v>
      </c>
      <c r="E168" s="1" t="n">
        <v>46262</v>
      </c>
      <c r="F168" t="inlineStr">
        <is>
          <t>SKÅNE LÄN</t>
        </is>
      </c>
      <c r="G168" t="inlineStr">
        <is>
          <t>KLIPPAN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44988</v>
      </c>
      <c r="E169" s="1" t="n">
        <v>46262</v>
      </c>
      <c r="F169" t="inlineStr">
        <is>
          <t>SKÅNE LÄN</t>
        </is>
      </c>
      <c r="G169" t="inlineStr">
        <is>
          <t>KLIPPAN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46262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46262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46262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45013</v>
      </c>
      <c r="E173" s="1" t="n">
        <v>46262</v>
      </c>
      <c r="F173" t="inlineStr">
        <is>
          <t>SKÅNE LÄN</t>
        </is>
      </c>
      <c r="G173" t="inlineStr">
        <is>
          <t>KLIPPAN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46262</v>
      </c>
      <c r="F174" t="inlineStr">
        <is>
          <t>SKÅNE LÄN</t>
        </is>
      </c>
      <c r="G174" t="inlineStr">
        <is>
          <t>KLIPPAN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46262</v>
      </c>
      <c r="F175" t="inlineStr">
        <is>
          <t>SKÅNE LÄN</t>
        </is>
      </c>
      <c r="G175" t="inlineStr">
        <is>
          <t>KLIPPAN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46262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45739</v>
      </c>
      <c r="E177" s="1" t="n">
        <v>46262</v>
      </c>
      <c r="F177" t="inlineStr">
        <is>
          <t>SKÅNE LÄN</t>
        </is>
      </c>
      <c r="G177" t="inlineStr">
        <is>
          <t>KLIPPAN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46262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46262</v>
      </c>
      <c r="F179" t="inlineStr">
        <is>
          <t>SKÅNE LÄN</t>
        </is>
      </c>
      <c r="G179" t="inlineStr">
        <is>
          <t>KLIPPAN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46262</v>
      </c>
      <c r="F180" t="inlineStr">
        <is>
          <t>SKÅNE LÄN</t>
        </is>
      </c>
      <c r="G180" t="inlineStr">
        <is>
          <t>KLIPPAN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46262</v>
      </c>
      <c r="F181" t="inlineStr">
        <is>
          <t>SKÅNE LÄN</t>
        </is>
      </c>
      <c r="G181" t="inlineStr">
        <is>
          <t>KLIPPAN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46262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46262</v>
      </c>
      <c r="F183" t="inlineStr">
        <is>
          <t>SKÅNE LÄN</t>
        </is>
      </c>
      <c r="G183" t="inlineStr">
        <is>
          <t>KLIPPAN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46262</v>
      </c>
      <c r="F184" t="inlineStr">
        <is>
          <t>SKÅNE LÄN</t>
        </is>
      </c>
      <c r="G184" t="inlineStr">
        <is>
          <t>KLIPPAN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46262</v>
      </c>
      <c r="F185" t="inlineStr">
        <is>
          <t>SKÅNE LÄN</t>
        </is>
      </c>
      <c r="G185" t="inlineStr">
        <is>
          <t>KLIPPAN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45641-2022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44845</v>
      </c>
      <c r="E186" s="1" t="n">
        <v>46262</v>
      </c>
      <c r="F186" t="inlineStr">
        <is>
          <t>SKÅNE LÄN</t>
        </is>
      </c>
      <c r="G186" t="inlineStr">
        <is>
          <t>KLIPPAN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46262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45442</v>
      </c>
      <c r="E188" s="1" t="n">
        <v>46262</v>
      </c>
      <c r="F188" t="inlineStr">
        <is>
          <t>SKÅNE LÄN</t>
        </is>
      </c>
      <c r="G188" t="inlineStr">
        <is>
          <t>KLIPPAN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46262</v>
      </c>
      <c r="F189" t="inlineStr">
        <is>
          <t>SKÅNE LÄN</t>
        </is>
      </c>
      <c r="G189" t="inlineStr">
        <is>
          <t>KLIPPAN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46262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45013</v>
      </c>
      <c r="E191" s="1" t="n">
        <v>46262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46262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44993</v>
      </c>
      <c r="E193" s="1" t="n">
        <v>46262</v>
      </c>
      <c r="F193" t="inlineStr">
        <is>
          <t>SKÅNE LÄN</t>
        </is>
      </c>
      <c r="G193" t="inlineStr">
        <is>
          <t>KLIPPAN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45005</v>
      </c>
      <c r="E194" s="1" t="n">
        <v>46262</v>
      </c>
      <c r="F194" t="inlineStr">
        <is>
          <t>SKÅNE LÄN</t>
        </is>
      </c>
      <c r="G194" t="inlineStr">
        <is>
          <t>KLIPPAN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44593</v>
      </c>
      <c r="E195" s="1" t="n">
        <v>46262</v>
      </c>
      <c r="F195" t="inlineStr">
        <is>
          <t>SKÅNE LÄN</t>
        </is>
      </c>
      <c r="G195" t="inlineStr">
        <is>
          <t>KLIPPAN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46262</v>
      </c>
      <c r="F196" t="inlineStr">
        <is>
          <t>SKÅNE LÄN</t>
        </is>
      </c>
      <c r="G196" t="inlineStr">
        <is>
          <t>KLIPPAN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46262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46262</v>
      </c>
      <c r="F198" t="inlineStr">
        <is>
          <t>SKÅNE LÄN</t>
        </is>
      </c>
      <c r="G198" t="inlineStr">
        <is>
          <t>KLIPPAN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46262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46262</v>
      </c>
      <c r="F200" t="inlineStr">
        <is>
          <t>SKÅNE LÄN</t>
        </is>
      </c>
      <c r="G200" t="inlineStr">
        <is>
          <t>KLIPPAN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46262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46262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46262</v>
      </c>
      <c r="F203" t="inlineStr">
        <is>
          <t>SKÅNE LÄN</t>
        </is>
      </c>
      <c r="G203" t="inlineStr">
        <is>
          <t>KLIPPAN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46262</v>
      </c>
      <c r="F204" t="inlineStr">
        <is>
          <t>SKÅNE LÄN</t>
        </is>
      </c>
      <c r="G204" t="inlineStr">
        <is>
          <t>KLIPPAN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45442</v>
      </c>
      <c r="E205" s="1" t="n">
        <v>46262</v>
      </c>
      <c r="F205" t="inlineStr">
        <is>
          <t>SKÅNE LÄN</t>
        </is>
      </c>
      <c r="G205" t="inlineStr">
        <is>
          <t>KLIPPAN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46262</v>
      </c>
      <c r="F206" t="inlineStr">
        <is>
          <t>SKÅNE LÄN</t>
        </is>
      </c>
      <c r="G206" t="inlineStr">
        <is>
          <t>KLIPPAN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46262</v>
      </c>
      <c r="F207" t="inlineStr">
        <is>
          <t>SKÅNE LÄN</t>
        </is>
      </c>
      <c r="G207" t="inlineStr">
        <is>
          <t>KLIPPAN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46262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46262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46262</v>
      </c>
      <c r="F210" t="inlineStr">
        <is>
          <t>SKÅNE LÄN</t>
        </is>
      </c>
      <c r="G210" t="inlineStr">
        <is>
          <t>KLIPPAN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46262</v>
      </c>
      <c r="F211" t="inlineStr">
        <is>
          <t>SKÅNE LÄN</t>
        </is>
      </c>
      <c r="G211" t="inlineStr">
        <is>
          <t>KLIPPAN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46262</v>
      </c>
      <c r="F212" t="inlineStr">
        <is>
          <t>SKÅNE LÄN</t>
        </is>
      </c>
      <c r="G212" t="inlineStr">
        <is>
          <t>KLIPPAN</t>
        </is>
      </c>
      <c r="H212" t="inlineStr">
        <is>
          <t>Övriga Aktiebolag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46262</v>
      </c>
      <c r="F213" t="inlineStr">
        <is>
          <t>SKÅNE LÄN</t>
        </is>
      </c>
      <c r="G213" t="inlineStr">
        <is>
          <t>KLIPPAN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52877-2022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44875</v>
      </c>
      <c r="E214" s="1" t="n">
        <v>46262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44992</v>
      </c>
      <c r="E215" s="1" t="n">
        <v>46262</v>
      </c>
      <c r="F215" t="inlineStr">
        <is>
          <t>SKÅNE LÄN</t>
        </is>
      </c>
      <c r="G215" t="inlineStr">
        <is>
          <t>KLIPPAN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46223</v>
      </c>
      <c r="E216" s="1" t="n">
        <v>46262</v>
      </c>
      <c r="F216" t="inlineStr">
        <is>
          <t>SKÅNE LÄN</t>
        </is>
      </c>
      <c r="G216" t="inlineStr">
        <is>
          <t>KLIPPAN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64224-2023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46262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44697</v>
      </c>
      <c r="E218" s="1" t="n">
        <v>46262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46262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46262</v>
      </c>
      <c r="F220" t="inlineStr">
        <is>
          <t>SKÅNE LÄN</t>
        </is>
      </c>
      <c r="G220" t="inlineStr">
        <is>
          <t>KLIPPAN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68856-2021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46262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45199</v>
      </c>
      <c r="E222" s="1" t="n">
        <v>46262</v>
      </c>
      <c r="F222" t="inlineStr">
        <is>
          <t>SKÅNE LÄN</t>
        </is>
      </c>
      <c r="G222" t="inlineStr">
        <is>
          <t>KLIPPAN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46262</v>
      </c>
      <c r="F223" t="inlineStr">
        <is>
          <t>SKÅNE LÄN</t>
        </is>
      </c>
      <c r="G223" t="inlineStr">
        <is>
          <t>KLIPPAN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46262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46262</v>
      </c>
      <c r="F225" t="inlineStr">
        <is>
          <t>SKÅNE LÄN</t>
        </is>
      </c>
      <c r="G225" t="inlineStr">
        <is>
          <t>KLIPPAN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46262</v>
      </c>
      <c r="F226" t="inlineStr">
        <is>
          <t>SKÅNE LÄN</t>
        </is>
      </c>
      <c r="G226" t="inlineStr">
        <is>
          <t>KLIPPAN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46262</v>
      </c>
      <c r="F227" t="inlineStr">
        <is>
          <t>SKÅNE LÄN</t>
        </is>
      </c>
      <c r="G227" t="inlineStr">
        <is>
          <t>KLIPPAN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46262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45163</v>
      </c>
      <c r="E229" s="1" t="n">
        <v>46262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55587-2021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44475</v>
      </c>
      <c r="E230" s="1" t="n">
        <v>46262</v>
      </c>
      <c r="F230" t="inlineStr">
        <is>
          <t>SKÅNE LÄN</t>
        </is>
      </c>
      <c r="G230" t="inlineStr">
        <is>
          <t>KLIPPAN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44722</v>
      </c>
      <c r="E231" s="1" t="n">
        <v>46262</v>
      </c>
      <c r="F231" t="inlineStr">
        <is>
          <t>SKÅNE LÄN</t>
        </is>
      </c>
      <c r="G231" t="inlineStr">
        <is>
          <t>KLIPPAN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45714</v>
      </c>
      <c r="E232" s="1" t="n">
        <v>46262</v>
      </c>
      <c r="F232" t="inlineStr">
        <is>
          <t>SKÅNE LÄN</t>
        </is>
      </c>
      <c r="G232" t="inlineStr">
        <is>
          <t>KLIPPAN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46262</v>
      </c>
      <c r="F233" t="inlineStr">
        <is>
          <t>SKÅNE LÄN</t>
        </is>
      </c>
      <c r="G233" t="inlineStr">
        <is>
          <t>KLIPPAN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46262</v>
      </c>
      <c r="F234" t="inlineStr">
        <is>
          <t>SKÅNE LÄN</t>
        </is>
      </c>
      <c r="G234" t="inlineStr">
        <is>
          <t>KLIPPAN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46262</v>
      </c>
      <c r="F235" t="inlineStr">
        <is>
          <t>SKÅNE LÄN</t>
        </is>
      </c>
      <c r="G235" t="inlineStr">
        <is>
          <t>KLIPPAN</t>
        </is>
      </c>
      <c r="H235" t="inlineStr">
        <is>
          <t>Övriga Aktiebolag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46262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46262</v>
      </c>
      <c r="F237" t="inlineStr">
        <is>
          <t>SKÅNE LÄN</t>
        </is>
      </c>
      <c r="G237" t="inlineStr">
        <is>
          <t>KLIPPAN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20012-2022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44697</v>
      </c>
      <c r="E238" s="1" t="n">
        <v>46262</v>
      </c>
      <c r="F238" t="inlineStr">
        <is>
          <t>SKÅNE LÄN</t>
        </is>
      </c>
      <c r="G238" t="inlineStr">
        <is>
          <t>KLIPPAN</t>
        </is>
      </c>
      <c r="I238" t="n">
        <v>17.2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46262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46262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46262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46262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44855</v>
      </c>
      <c r="E243" s="1" t="n">
        <v>46262</v>
      </c>
      <c r="F243" t="inlineStr">
        <is>
          <t>SKÅNE LÄN</t>
        </is>
      </c>
      <c r="G243" t="inlineStr">
        <is>
          <t>KLIPPAN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46262</v>
      </c>
      <c r="F244" t="inlineStr">
        <is>
          <t>SKÅNE LÄN</t>
        </is>
      </c>
      <c r="G244" t="inlineStr">
        <is>
          <t>KLIPPAN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46262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46262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11.6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46251</v>
      </c>
      <c r="E247" s="1" t="n">
        <v>46262</v>
      </c>
      <c r="F247" t="inlineStr">
        <is>
          <t>SKÅNE LÄN</t>
        </is>
      </c>
      <c r="G247" t="inlineStr">
        <is>
          <t>KLIPPAN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46262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46262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46262</v>
      </c>
      <c r="F250" t="inlineStr">
        <is>
          <t>SKÅNE LÄN</t>
        </is>
      </c>
      <c r="G250" t="inlineStr">
        <is>
          <t>KLIPPAN</t>
        </is>
      </c>
      <c r="H250" t="inlineStr">
        <is>
          <t>Övriga Aktiebolag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46253</v>
      </c>
      <c r="E251" s="1" t="n">
        <v>46262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46262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46262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46262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46262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45320</v>
      </c>
      <c r="E256" s="1" t="n">
        <v>46262</v>
      </c>
      <c r="F256" t="inlineStr">
        <is>
          <t>SKÅNE LÄN</t>
        </is>
      </c>
      <c r="G256" t="inlineStr">
        <is>
          <t>KLIPPAN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46262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46262</v>
      </c>
      <c r="F258" t="inlineStr">
        <is>
          <t>SKÅNE LÄN</t>
        </is>
      </c>
      <c r="G258" t="inlineStr">
        <is>
          <t>KLIPPAN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46262</v>
      </c>
      <c r="F259" t="inlineStr">
        <is>
          <t>SKÅNE LÄN</t>
        </is>
      </c>
      <c r="G259" t="inlineStr">
        <is>
          <t>KLIPPAN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46216</v>
      </c>
      <c r="E260" s="1" t="n">
        <v>46262</v>
      </c>
      <c r="F260" t="inlineStr">
        <is>
          <t>SKÅNE LÄN</t>
        </is>
      </c>
      <c r="G260" t="inlineStr">
        <is>
          <t>KLIPPAN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46216</v>
      </c>
      <c r="E261" s="1" t="n">
        <v>46262</v>
      </c>
      <c r="F261" t="inlineStr">
        <is>
          <t>SKÅNE LÄN</t>
        </is>
      </c>
      <c r="G261" t="inlineStr">
        <is>
          <t>KLIPPAN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46262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46168</v>
      </c>
      <c r="E263" s="1" t="n">
        <v>46262</v>
      </c>
      <c r="F263" t="inlineStr">
        <is>
          <t>SKÅNE LÄN</t>
        </is>
      </c>
      <c r="G263" t="inlineStr">
        <is>
          <t>KLIPPAN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46262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46262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46262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46262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46262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46262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46262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46262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46262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46262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46262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46262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46262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46262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46262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46262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46262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46262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46262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46262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46262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46262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46262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46262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46262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2026-08-28T01:54:12Z</dcterms:created>
  <dcterms:modified xmlns:dcterms="http://purl.org/dc/terms/" xmlns:xsi="http://www.w3.org/2001/XMLSchema-instance" xsi:type="dcterms:W3CDTF">2026-08-28T01:54:13Z</dcterms:modified>
</cp:coreProperties>
</file>