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46225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46225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46225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46225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46225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46225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46225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46225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46225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46225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46225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46225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Enkelbeckasin
Entita
Gröngöling</t>
        </is>
      </c>
      <c r="W13">
        <f>HYPERLINK("https://klasma.github.io/Logging_1276/artfynd/A 6890-2026 artfynd.xlsx", "A 6890-2026")</f>
        <v/>
      </c>
      <c r="X13">
        <f>HYPERLINK("https://klasma.github.io/Logging_1276/kartor/A 6890-2026 karta.png", "A 6890-2026")</f>
        <v/>
      </c>
      <c r="Y13">
        <f>HYPERLINK("https://klasma.github.io/Logging_1276/kartor_geotiff/A 6890-2026 georefererad karta.tif", "A 6890-2026")</f>
        <v/>
      </c>
      <c r="AA13">
        <f>HYPERLINK("https://klasma.github.io/Logging_1276/klagomål/A 6890-2026 FSC-klagomål.docx", "A 6890-2026")</f>
        <v/>
      </c>
      <c r="AB13">
        <f>HYPERLINK("https://klasma.github.io/Logging_1276/klagomålsmail/A 6890-2026 FSC-klagomål mail.docx", "A 6890-2026")</f>
        <v/>
      </c>
      <c r="AC13">
        <f>HYPERLINK("https://klasma.github.io/Logging_1276/tillsyn/A 6890-2026 tillsynsbegäran.docx", "A 6890-2026")</f>
        <v/>
      </c>
      <c r="AD13">
        <f>HYPERLINK("https://klasma.github.io/Logging_1276/tillsynsmail/A 6890-2026 tillsynsbegäran mail.docx", "A 6890-2026")</f>
        <v/>
      </c>
      <c r="AE13">
        <f>HYPERLINK("https://klasma.github.io/Logging_1276/fåglar/A 6890-2026 prioriterade fågelarter.docx", "A 6890-2026")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46225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46225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46225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46256-2024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45581</v>
      </c>
      <c r="E17" s="1" t="n">
        <v>46225</v>
      </c>
      <c r="F17" t="inlineStr">
        <is>
          <t>SKÅNE LÄN</t>
        </is>
      </c>
      <c r="G17" t="inlineStr">
        <is>
          <t>KLIPPAN</t>
        </is>
      </c>
      <c r="H17" t="inlineStr">
        <is>
          <t>Sveaskog</t>
        </is>
      </c>
      <c r="I17" t="n">
        <v>3.1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Rostfläck
Västlig hakmossa
Spillkråka</t>
        </is>
      </c>
      <c r="W17">
        <f>HYPERLINK("https://klasma.github.io/Logging_1276/artfynd/A 46256-2024 artfynd.xlsx", "A 46256-2024")</f>
        <v/>
      </c>
      <c r="X17">
        <f>HYPERLINK("https://klasma.github.io/Logging_1276/kartor/A 46256-2024 karta.png", "A 46256-2024")</f>
        <v/>
      </c>
      <c r="Y17">
        <f>HYPERLINK("https://klasma.github.io/Logging_1276/kartor_geotiff/A 46256-2024 georefererad karta.tif", "A 46256-2024")</f>
        <v/>
      </c>
      <c r="AA17">
        <f>HYPERLINK("https://klasma.github.io/Logging_1276/klagomål/A 46256-2024 FSC-klagomål.docx", "A 46256-2024")</f>
        <v/>
      </c>
      <c r="AB17">
        <f>HYPERLINK("https://klasma.github.io/Logging_1276/klagomålsmail/A 46256-2024 FSC-klagomål mail.docx", "A 46256-2024")</f>
        <v/>
      </c>
      <c r="AC17">
        <f>HYPERLINK("https://klasma.github.io/Logging_1276/tillsyn/A 46256-2024 tillsynsbegäran.docx", "A 46256-2024")</f>
        <v/>
      </c>
      <c r="AD17">
        <f>HYPERLINK("https://klasma.github.io/Logging_1276/tillsynsmail/A 46256-2024 tillsynsbegäran mail.docx", "A 46256-2024")</f>
        <v/>
      </c>
      <c r="AE17">
        <f>HYPERLINK("https://klasma.github.io/Logging_1276/fåglar/A 46256-2024 prioriterade fågelarter.docx", "A 46256-2024")</f>
        <v/>
      </c>
    </row>
    <row r="18" ht="15" customHeight="1">
      <c r="A18" t="inlineStr">
        <is>
          <t>S 5972-2022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44858</v>
      </c>
      <c r="E18" s="1" t="n">
        <v>46225</v>
      </c>
      <c r="F18" t="inlineStr">
        <is>
          <t>SKÅNE LÄN</t>
        </is>
      </c>
      <c r="G18" t="inlineStr">
        <is>
          <t>KLIPPAN</t>
        </is>
      </c>
      <c r="I18" t="n">
        <v>16.1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Skogsknipprot
Grönsiska
Kungsfågel</t>
        </is>
      </c>
      <c r="W18">
        <f>HYPERLINK("https://klasma.github.io/Logging_1276/artfynd/S 5972-2022 artfynd.xlsx", "S 5972-2022")</f>
        <v/>
      </c>
      <c r="X18">
        <f>HYPERLINK("https://klasma.github.io/Logging_1276/kartor/S 5972-2022 karta.png", "S 5972-2022")</f>
        <v/>
      </c>
      <c r="Y18">
        <f>HYPERLINK("https://klasma.github.io/Logging_1276/kartor_geotiff/S 5972-2022 georefererad karta.tif", "S 5972-2022")</f>
        <v/>
      </c>
      <c r="AA18">
        <f>HYPERLINK("https://klasma.github.io/Logging_1276/klagomål/S 5972-2022 FSC-klagomål.docx", "S 5972-2022")</f>
        <v/>
      </c>
      <c r="AB18">
        <f>HYPERLINK("https://klasma.github.io/Logging_1276/klagomålsmail/S 5972-2022 FSC-klagomål mail.docx", "S 5972-2022")</f>
        <v/>
      </c>
      <c r="AC18">
        <f>HYPERLINK("https://klasma.github.io/Logging_1276/tillsyn/S 5972-2022 tillsynsbegäran.docx", "S 5972-2022")</f>
        <v/>
      </c>
      <c r="AD18">
        <f>HYPERLINK("https://klasma.github.io/Logging_1276/tillsynsmail/S 5972-2022 tillsynsbegäran mail.docx", "S 5972-2022")</f>
        <v/>
      </c>
    </row>
    <row r="19" ht="15" customHeight="1">
      <c r="A19" t="inlineStr">
        <is>
          <t>A 19094-2022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46225</v>
      </c>
      <c r="F19" t="inlineStr">
        <is>
          <t>SKÅNE LÄN</t>
        </is>
      </c>
      <c r="G19" t="inlineStr">
        <is>
          <t>KLIPPAN</t>
        </is>
      </c>
      <c r="I19" t="n">
        <v>0.6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Fläcklungört
Strutbräken</t>
        </is>
      </c>
      <c r="W19">
        <f>HYPERLINK("https://klasma.github.io/Logging_1276/artfynd/A 19094-2022 artfynd.xlsx", "A 19094-2022")</f>
        <v/>
      </c>
      <c r="X19">
        <f>HYPERLINK("https://klasma.github.io/Logging_1276/kartor/A 19094-2022 karta.png", "A 19094-2022")</f>
        <v/>
      </c>
      <c r="Y19">
        <f>HYPERLINK("https://klasma.github.io/Logging_1276/kartor_geotiff/A 19094-2022 georefererad karta.tif", "A 19094-2022")</f>
        <v/>
      </c>
      <c r="AA19">
        <f>HYPERLINK("https://klasma.github.io/Logging_1276/klagomål/A 19094-2022 FSC-klagomål.docx", "A 19094-2022")</f>
        <v/>
      </c>
      <c r="AB19">
        <f>HYPERLINK("https://klasma.github.io/Logging_1276/klagomålsmail/A 19094-2022 FSC-klagomål mail.docx", "A 19094-2022")</f>
        <v/>
      </c>
      <c r="AC19">
        <f>HYPERLINK("https://klasma.github.io/Logging_1276/tillsyn/A 19094-2022 tillsynsbegäran.docx", "A 19094-2022")</f>
        <v/>
      </c>
      <c r="AD19">
        <f>HYPERLINK("https://klasma.github.io/Logging_1276/tillsynsmail/A 19094-2022 tillsynsbegäran mail.docx", "A 19094-2022")</f>
        <v/>
      </c>
    </row>
    <row r="20" ht="15" customHeight="1">
      <c r="A20" t="inlineStr">
        <is>
          <t>A 5732-2022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46225</v>
      </c>
      <c r="F20" t="inlineStr">
        <is>
          <t>SKÅNE LÄN</t>
        </is>
      </c>
      <c r="G20" t="inlineStr">
        <is>
          <t>KLIPPAN</t>
        </is>
      </c>
      <c r="I20" t="n">
        <v>6.1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Kungsfågel</t>
        </is>
      </c>
      <c r="W20">
        <f>HYPERLINK("https://klasma.github.io/Logging_1276/artfynd/A 5732-2022 artfynd.xlsx", "A 5732-2022")</f>
        <v/>
      </c>
      <c r="X20">
        <f>HYPERLINK("https://klasma.github.io/Logging_1276/kartor/A 5732-2022 karta.png", "A 5732-2022")</f>
        <v/>
      </c>
      <c r="Y20">
        <f>HYPERLINK("https://klasma.github.io/Logging_1276/kartor_geotiff/A 5732-2022 georefererad karta.tif", "A 5732-2022")</f>
        <v/>
      </c>
      <c r="AA20">
        <f>HYPERLINK("https://klasma.github.io/Logging_1276/klagomål/A 5732-2022 FSC-klagomål.docx", "A 5732-2022")</f>
        <v/>
      </c>
      <c r="AB20">
        <f>HYPERLINK("https://klasma.github.io/Logging_1276/klagomålsmail/A 5732-2022 FSC-klagomål mail.docx", "A 5732-2022")</f>
        <v/>
      </c>
      <c r="AC20">
        <f>HYPERLINK("https://klasma.github.io/Logging_1276/tillsyn/A 5732-2022 tillsynsbegäran.docx", "A 5732-2022")</f>
        <v/>
      </c>
      <c r="AD20">
        <f>HYPERLINK("https://klasma.github.io/Logging_1276/tillsynsmail/A 5732-2022 tillsynsbegäran mail.docx", "A 5732-2022")</f>
        <v/>
      </c>
      <c r="AE20">
        <f>HYPERLINK("https://klasma.github.io/Logging_1276/fåglar/A 5732-2022 prioriterade fågelarter.docx", "A 5732-2022")</f>
        <v/>
      </c>
    </row>
    <row r="21" ht="15" customHeight="1">
      <c r="A21" t="inlineStr">
        <is>
          <t>A 44567-2025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45917</v>
      </c>
      <c r="E21" s="1" t="n">
        <v>46225</v>
      </c>
      <c r="F21" t="inlineStr">
        <is>
          <t>SKÅNE LÄN</t>
        </is>
      </c>
      <c r="G21" t="inlineStr">
        <is>
          <t>KLIPPAN</t>
        </is>
      </c>
      <c r="I21" t="n">
        <v>17.3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Grönsiska
Kråka</t>
        </is>
      </c>
      <c r="W21">
        <f>HYPERLINK("https://klasma.github.io/Logging_1276/artfynd/A 44567-2025 artfynd.xlsx", "A 44567-2025")</f>
        <v/>
      </c>
      <c r="X21">
        <f>HYPERLINK("https://klasma.github.io/Logging_1276/kartor/A 44567-2025 karta.png", "A 44567-2025")</f>
        <v/>
      </c>
      <c r="Y21">
        <f>HYPERLINK("https://klasma.github.io/Logging_1276/kartor_geotiff/A 44567-2025 georefererad karta.tif", "A 44567-2025")</f>
        <v/>
      </c>
      <c r="AA21">
        <f>HYPERLINK("https://klasma.github.io/Logging_1276/klagomål/A 44567-2025 FSC-klagomål.docx", "A 44567-2025")</f>
        <v/>
      </c>
      <c r="AB21">
        <f>HYPERLINK("https://klasma.github.io/Logging_1276/klagomålsmail/A 44567-2025 FSC-klagomål mail.docx", "A 44567-2025")</f>
        <v/>
      </c>
      <c r="AC21">
        <f>HYPERLINK("https://klasma.github.io/Logging_1276/tillsyn/A 44567-2025 tillsynsbegäran.docx", "A 44567-2025")</f>
        <v/>
      </c>
      <c r="AD21">
        <f>HYPERLINK("https://klasma.github.io/Logging_1276/tillsynsmail/A 44567-2025 tillsynsbegäran mail.docx", "A 44567-2025")</f>
        <v/>
      </c>
    </row>
    <row r="22" ht="15" customHeight="1">
      <c r="A22" t="inlineStr">
        <is>
          <t>A 59769-2025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45992</v>
      </c>
      <c r="E22" s="1" t="n">
        <v>46225</v>
      </c>
      <c r="F22" t="inlineStr">
        <is>
          <t>SKÅNE LÄN</t>
        </is>
      </c>
      <c r="G22" t="inlineStr">
        <is>
          <t>KLIPPAN</t>
        </is>
      </c>
      <c r="H22" t="inlineStr">
        <is>
          <t>Sveaskog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Entita
Kungsfågel</t>
        </is>
      </c>
      <c r="W22">
        <f>HYPERLINK("https://klasma.github.io/Logging_1276/artfynd/A 59769-2025 artfynd.xlsx", "A 59769-2025")</f>
        <v/>
      </c>
      <c r="X22">
        <f>HYPERLINK("https://klasma.github.io/Logging_1276/kartor/A 59769-2025 karta.png", "A 59769-2025")</f>
        <v/>
      </c>
      <c r="Y22">
        <f>HYPERLINK("https://klasma.github.io/Logging_1276/kartor_geotiff/A 59769-2025 georefererad karta.tif", "A 59769-2025")</f>
        <v/>
      </c>
      <c r="AA22">
        <f>HYPERLINK("https://klasma.github.io/Logging_1276/klagomål/A 59769-2025 FSC-klagomål.docx", "A 59769-2025")</f>
        <v/>
      </c>
      <c r="AB22">
        <f>HYPERLINK("https://klasma.github.io/Logging_1276/klagomålsmail/A 59769-2025 FSC-klagomål mail.docx", "A 59769-2025")</f>
        <v/>
      </c>
      <c r="AC22">
        <f>HYPERLINK("https://klasma.github.io/Logging_1276/tillsyn/A 59769-2025 tillsynsbegäran.docx", "A 59769-2025")</f>
        <v/>
      </c>
      <c r="AD22">
        <f>HYPERLINK("https://klasma.github.io/Logging_1276/tillsynsmail/A 59769-2025 tillsynsbegäran mail.docx", "A 59769-2025")</f>
        <v/>
      </c>
      <c r="AE22">
        <f>HYPERLINK("https://klasma.github.io/Logging_1276/fåglar/A 59769-2025 prioriterade fågelarter.docx", "A 59769-2025")</f>
        <v/>
      </c>
    </row>
    <row r="23" ht="15" customHeight="1">
      <c r="A23" t="inlineStr">
        <is>
          <t>A 29275-2026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46225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Mindre hackspett
Blemlavsklotter</t>
        </is>
      </c>
      <c r="W23">
        <f>HYPERLINK("https://klasma.github.io/Logging_1276/artfynd/A 29275-2026 artfynd.xlsx", "A 29275-2026")</f>
        <v/>
      </c>
      <c r="X23">
        <f>HYPERLINK("https://klasma.github.io/Logging_1276/kartor/A 29275-2026 karta.png", "A 29275-2026")</f>
        <v/>
      </c>
      <c r="Y23">
        <f>HYPERLINK("https://klasma.github.io/Logging_1276/kartor_geotiff/A 29275-2026 georefererad karta.tif", "A 29275-2026")</f>
        <v/>
      </c>
      <c r="AA23">
        <f>HYPERLINK("https://klasma.github.io/Logging_1276/klagomål/A 29275-2026 FSC-klagomål.docx", "A 29275-2026")</f>
        <v/>
      </c>
      <c r="AB23">
        <f>HYPERLINK("https://klasma.github.io/Logging_1276/klagomålsmail/A 29275-2026 FSC-klagomål mail.docx", "A 29275-2026")</f>
        <v/>
      </c>
      <c r="AC23">
        <f>HYPERLINK("https://klasma.github.io/Logging_1276/tillsyn/A 29275-2026 tillsynsbegäran.docx", "A 29275-2026")</f>
        <v/>
      </c>
      <c r="AD23">
        <f>HYPERLINK("https://klasma.github.io/Logging_1276/tillsynsmail/A 29275-2026 tillsynsbegäran mail.docx", "A 29275-2026")</f>
        <v/>
      </c>
      <c r="AE23">
        <f>HYPERLINK("https://klasma.github.io/Logging_1276/fåglar/A 29275-2026 prioriterade fågelarter.docx", "A 29275-2026")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46225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46225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46225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S 977-2023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45006</v>
      </c>
      <c r="E27" s="1" t="n">
        <v>46225</v>
      </c>
      <c r="F27" t="inlineStr">
        <is>
          <t>SKÅNE LÄN</t>
        </is>
      </c>
      <c r="G27" t="inlineStr">
        <is>
          <t>KLIPPAN</t>
        </is>
      </c>
      <c r="I27" t="n">
        <v>23.6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t="n">
        <v>3</v>
      </c>
      <c r="V27" s="2" t="inlineStr">
        <is>
          <t>Sommarklynne
Silversmygare</t>
        </is>
      </c>
      <c r="W27">
        <f>HYPERLINK("https://klasma.github.io/Logging_1276/artfynd/S 977-2023 artfynd.xlsx", "S 977-2023")</f>
        <v/>
      </c>
      <c r="X27">
        <f>HYPERLINK("https://klasma.github.io/Logging_1276/kartor/S 977-2023 karta.png", "S 977-2023")</f>
        <v/>
      </c>
      <c r="Y27">
        <f>HYPERLINK("https://klasma.github.io/Logging_1276/kartor_geotiff/S 977-2023 georefererad karta.tif", "S 977-2023")</f>
        <v/>
      </c>
      <c r="AA27">
        <f>HYPERLINK("https://klasma.github.io/Logging_1276/klagomål/S 977-2023 FSC-klagomål.docx", "S 977-2023")</f>
        <v/>
      </c>
      <c r="AB27">
        <f>HYPERLINK("https://klasma.github.io/Logging_1276/klagomålsmail/S 977-2023 FSC-klagomål mail.docx", "S 977-2023")</f>
        <v/>
      </c>
      <c r="AC27">
        <f>HYPERLINK("https://klasma.github.io/Logging_1276/tillsyn/S 977-2023 tillsynsbegäran.docx", "S 977-2023")</f>
        <v/>
      </c>
      <c r="AD27">
        <f>HYPERLINK("https://klasma.github.io/Logging_1276/tillsynsmail/S 977-2023 tillsynsbegäran mail.docx", "S 977-2023")</f>
        <v/>
      </c>
    </row>
    <row r="28" ht="15" customHeight="1">
      <c r="A28" t="inlineStr">
        <is>
          <t>S 4007-2022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44754</v>
      </c>
      <c r="E28" s="1" t="n">
        <v>46225</v>
      </c>
      <c r="F28" t="inlineStr">
        <is>
          <t>SKÅNE LÄN</t>
        </is>
      </c>
      <c r="G28" t="inlineStr">
        <is>
          <t>KLIPPAN</t>
        </is>
      </c>
      <c r="I28" t="n">
        <v>20.8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Mattlummer
Revlummer</t>
        </is>
      </c>
      <c r="W28">
        <f>HYPERLINK("https://klasma.github.io/Logging_1276/artfynd/S 4007-2022 artfynd.xlsx", "S 4007-2022")</f>
        <v/>
      </c>
      <c r="X28">
        <f>HYPERLINK("https://klasma.github.io/Logging_1276/kartor/S 4007-2022 karta.png", "S 4007-2022")</f>
        <v/>
      </c>
      <c r="Y28">
        <f>HYPERLINK("https://klasma.github.io/Logging_1276/kartor_geotiff/S 4007-2022 georefererad karta.tif", "S 4007-2022")</f>
        <v/>
      </c>
      <c r="AA28">
        <f>HYPERLINK("https://klasma.github.io/Logging_1276/klagomål/S 4007-2022 FSC-klagomål.docx", "S 4007-2022")</f>
        <v/>
      </c>
      <c r="AB28">
        <f>HYPERLINK("https://klasma.github.io/Logging_1276/klagomålsmail/S 4007-2022 FSC-klagomål mail.docx", "S 4007-2022")</f>
        <v/>
      </c>
      <c r="AC28">
        <f>HYPERLINK("https://klasma.github.io/Logging_1276/tillsyn/S 4007-2022 tillsynsbegäran.docx", "S 4007-2022")</f>
        <v/>
      </c>
      <c r="AD28">
        <f>HYPERLINK("https://klasma.github.io/Logging_1276/tillsynsmail/S 4007-2022 tillsynsbegäran mail.docx", "S 4007-2022")</f>
        <v/>
      </c>
    </row>
    <row r="29" ht="15" customHeight="1">
      <c r="A29" t="inlineStr">
        <is>
          <t>S 47-2026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46030</v>
      </c>
      <c r="E29" s="1" t="n">
        <v>46225</v>
      </c>
      <c r="F29" t="inlineStr">
        <is>
          <t>SKÅNE LÄN</t>
        </is>
      </c>
      <c r="G29" t="inlineStr">
        <is>
          <t>KLIPPAN</t>
        </is>
      </c>
      <c r="I29" t="n">
        <v>28.2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Större vattensalamander
Vanlig padda</t>
        </is>
      </c>
      <c r="W29">
        <f>HYPERLINK("https://klasma.github.io/Logging_1276/artfynd/S 47-2026 artfynd.xlsx", "S 47-2026")</f>
        <v/>
      </c>
      <c r="X29">
        <f>HYPERLINK("https://klasma.github.io/Logging_1276/kartor/S 47-2026 karta.png", "S 47-2026")</f>
        <v/>
      </c>
      <c r="Y29">
        <f>HYPERLINK("https://klasma.github.io/Logging_1276/kartor_geotiff/S 47-2026 georefererad karta.tif", "S 47-2026")</f>
        <v/>
      </c>
      <c r="AA29">
        <f>HYPERLINK("https://klasma.github.io/Logging_1276/klagomål/S 47-2026 FSC-klagomål.docx", "S 47-2026")</f>
        <v/>
      </c>
      <c r="AB29">
        <f>HYPERLINK("https://klasma.github.io/Logging_1276/klagomålsmail/S 47-2026 FSC-klagomål mail.docx", "S 47-2026")</f>
        <v/>
      </c>
      <c r="AC29">
        <f>HYPERLINK("https://klasma.github.io/Logging_1276/tillsyn/S 47-2026 tillsynsbegäran.docx", "S 47-2026")</f>
        <v/>
      </c>
      <c r="AD29">
        <f>HYPERLINK("https://klasma.github.io/Logging_1276/tillsynsmail/S 47-2026 tillsynsbegäran mail.docx", "S 47-2026")</f>
        <v/>
      </c>
    </row>
    <row r="30" ht="15" customHeight="1">
      <c r="A30" t="inlineStr">
        <is>
          <t>A 44885-2022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44841</v>
      </c>
      <c r="E30" s="1" t="n">
        <v>46225</v>
      </c>
      <c r="F30" t="inlineStr">
        <is>
          <t>SKÅNE LÄN</t>
        </is>
      </c>
      <c r="G30" t="inlineStr">
        <is>
          <t>KLIPPAN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HYPERLINK("https://klasma.github.io/Logging_1276/artfynd/A 44885-2022 artfynd.xlsx", "A 44885-2022")</f>
        <v/>
      </c>
      <c r="X30">
        <f>HYPERLINK("https://klasma.github.io/Logging_1276/kartor/A 44885-2022 karta.png", "A 44885-2022")</f>
        <v/>
      </c>
      <c r="Y30">
        <f>HYPERLINK("https://klasma.github.io/Logging_1276/kartor_geotiff/A 44885-2022 georefererad karta.tif", "A 44885-2022")</f>
        <v/>
      </c>
      <c r="AA30">
        <f>HYPERLINK("https://klasma.github.io/Logging_1276/klagomål/A 44885-2022 FSC-klagomål.docx", "A 44885-2022")</f>
        <v/>
      </c>
      <c r="AB30">
        <f>HYPERLINK("https://klasma.github.io/Logging_1276/klagomålsmail/A 44885-2022 FSC-klagomål mail.docx", "A 44885-2022")</f>
        <v/>
      </c>
      <c r="AC30">
        <f>HYPERLINK("https://klasma.github.io/Logging_1276/tillsyn/A 44885-2022 tillsynsbegäran.docx", "A 44885-2022")</f>
        <v/>
      </c>
      <c r="AD30">
        <f>HYPERLINK("https://klasma.github.io/Logging_1276/tillsynsmail/A 44885-2022 tillsynsbegäran mail.docx", "A 44885-2022")</f>
        <v/>
      </c>
    </row>
    <row r="31" ht="15" customHeight="1">
      <c r="A31" t="inlineStr">
        <is>
          <t>A 6446-2026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46225</v>
      </c>
      <c r="F31" t="inlineStr">
        <is>
          <t>SKÅNE LÄN</t>
        </is>
      </c>
      <c r="G31" t="inlineStr">
        <is>
          <t>KLIPPAN</t>
        </is>
      </c>
      <c r="I31" t="n">
        <v>0.5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Backsippa</t>
        </is>
      </c>
      <c r="W31">
        <f>HYPERLINK("https://klasma.github.io/Logging_1276/artfynd/A 6446-2026 artfynd.xlsx", "A 6446-2026")</f>
        <v/>
      </c>
      <c r="X31">
        <f>HYPERLINK("https://klasma.github.io/Logging_1276/kartor/A 6446-2026 karta.png", "A 6446-2026")</f>
        <v/>
      </c>
      <c r="Y31">
        <f>HYPERLINK("https://klasma.github.io/Logging_1276/kartor_geotiff/A 6446-2026 georefererad karta.tif", "A 6446-2026")</f>
        <v/>
      </c>
      <c r="AA31">
        <f>HYPERLINK("https://klasma.github.io/Logging_1276/klagomål/A 6446-2026 FSC-klagomål.docx", "A 6446-2026")</f>
        <v/>
      </c>
      <c r="AB31">
        <f>HYPERLINK("https://klasma.github.io/Logging_1276/klagomålsmail/A 6446-2026 FSC-klagomål mail.docx", "A 6446-2026")</f>
        <v/>
      </c>
      <c r="AC31">
        <f>HYPERLINK("https://klasma.github.io/Logging_1276/tillsyn/A 6446-2026 tillsynsbegäran.docx", "A 6446-2026")</f>
        <v/>
      </c>
      <c r="AD31">
        <f>HYPERLINK("https://klasma.github.io/Logging_1276/tillsynsmail/A 6446-2026 tillsynsbegäran mail.docx", "A 6446-2026")</f>
        <v/>
      </c>
    </row>
    <row r="32" ht="15" customHeight="1">
      <c r="A32" t="inlineStr">
        <is>
          <t>A 61049-2025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46225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61049-2025 artfynd.xlsx", "A 61049-2025")</f>
        <v/>
      </c>
      <c r="X32">
        <f>HYPERLINK("https://klasma.github.io/Logging_1276/kartor/A 61049-2025 karta.png", "A 61049-2025")</f>
        <v/>
      </c>
      <c r="Y32">
        <f>HYPERLINK("https://klasma.github.io/Logging_1276/kartor_geotiff/A 61049-2025 georefererad karta.tif", "A 61049-2025")</f>
        <v/>
      </c>
      <c r="AA32">
        <f>HYPERLINK("https://klasma.github.io/Logging_1276/klagomål/A 61049-2025 FSC-klagomål.docx", "A 61049-2025")</f>
        <v/>
      </c>
      <c r="AB32">
        <f>HYPERLINK("https://klasma.github.io/Logging_1276/klagomålsmail/A 61049-2025 FSC-klagomål mail.docx", "A 61049-2025")</f>
        <v/>
      </c>
      <c r="AC32">
        <f>HYPERLINK("https://klasma.github.io/Logging_1276/tillsyn/A 61049-2025 tillsynsbegäran.docx", "A 61049-2025")</f>
        <v/>
      </c>
      <c r="AD32">
        <f>HYPERLINK("https://klasma.github.io/Logging_1276/tillsynsmail/A 61049-2025 tillsynsbegäran mail.docx", "A 61049-2025")</f>
        <v/>
      </c>
      <c r="AE32">
        <f>HYPERLINK("https://klasma.github.io/Logging_1276/fåglar/A 61049-2025 prioriterade fågelarter.docx", "A 61049-2025")</f>
        <v/>
      </c>
    </row>
    <row r="33" ht="15" customHeight="1">
      <c r="A33" t="inlineStr">
        <is>
          <t>A 61058-2025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46225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Kungsfågel</t>
        </is>
      </c>
      <c r="W33">
        <f>HYPERLINK("https://klasma.github.io/Logging_1276/artfynd/A 61058-2025 artfynd.xlsx", "A 61058-2025")</f>
        <v/>
      </c>
      <c r="X33">
        <f>HYPERLINK("https://klasma.github.io/Logging_1276/kartor/A 61058-2025 karta.png", "A 61058-2025")</f>
        <v/>
      </c>
      <c r="Y33">
        <f>HYPERLINK("https://klasma.github.io/Logging_1276/kartor_geotiff/A 61058-2025 georefererad karta.tif", "A 61058-2025")</f>
        <v/>
      </c>
      <c r="AA33">
        <f>HYPERLINK("https://klasma.github.io/Logging_1276/klagomål/A 61058-2025 FSC-klagomål.docx", "A 61058-2025")</f>
        <v/>
      </c>
      <c r="AB33">
        <f>HYPERLINK("https://klasma.github.io/Logging_1276/klagomålsmail/A 61058-2025 FSC-klagomål mail.docx", "A 61058-2025")</f>
        <v/>
      </c>
      <c r="AC33">
        <f>HYPERLINK("https://klasma.github.io/Logging_1276/tillsyn/A 61058-2025 tillsynsbegäran.docx", "A 61058-2025")</f>
        <v/>
      </c>
      <c r="AD33">
        <f>HYPERLINK("https://klasma.github.io/Logging_1276/tillsynsmail/A 61058-2025 tillsynsbegäran mail.docx", "A 61058-2025")</f>
        <v/>
      </c>
    </row>
    <row r="34" ht="15" customHeight="1">
      <c r="A34" t="inlineStr">
        <is>
          <t>A 15810-2024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45404</v>
      </c>
      <c r="E34" s="1" t="n">
        <v>46225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HYPERLINK("https://klasma.github.io/Logging_1276/artfynd/A 15810-2024 artfynd.xlsx", "A 15810-2024")</f>
        <v/>
      </c>
      <c r="X34">
        <f>HYPERLINK("https://klasma.github.io/Logging_1276/kartor/A 15810-2024 karta.png", "A 15810-2024")</f>
        <v/>
      </c>
      <c r="Y34">
        <f>HYPERLINK("https://klasma.github.io/Logging_1276/kartor_geotiff/A 15810-2024 georefererad karta.tif", "A 15810-2024")</f>
        <v/>
      </c>
      <c r="AA34">
        <f>HYPERLINK("https://klasma.github.io/Logging_1276/klagomål/A 15810-2024 FSC-klagomål.docx", "A 15810-2024")</f>
        <v/>
      </c>
      <c r="AB34">
        <f>HYPERLINK("https://klasma.github.io/Logging_1276/klagomålsmail/A 15810-2024 FSC-klagomål mail.docx", "A 15810-2024")</f>
        <v/>
      </c>
      <c r="AC34">
        <f>HYPERLINK("https://klasma.github.io/Logging_1276/tillsyn/A 15810-2024 tillsynsbegäran.docx", "A 15810-2024")</f>
        <v/>
      </c>
      <c r="AD34">
        <f>HYPERLINK("https://klasma.github.io/Logging_1276/tillsynsmail/A 15810-2024 tillsynsbegäran mail.docx", "A 15810-2024")</f>
        <v/>
      </c>
    </row>
    <row r="35" ht="15" customHeight="1">
      <c r="A35" t="inlineStr">
        <is>
          <t>A 21788-2026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46225</v>
      </c>
      <c r="F35" t="inlineStr">
        <is>
          <t>SKÅNE LÄN</t>
        </is>
      </c>
      <c r="G35" t="inlineStr">
        <is>
          <t>KLIPPAN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Bäckbräsma</t>
        </is>
      </c>
      <c r="W35">
        <f>HYPERLINK("https://klasma.github.io/Logging_1276/artfynd/A 21788-2026 artfynd.xlsx", "A 21788-2026")</f>
        <v/>
      </c>
      <c r="X35">
        <f>HYPERLINK("https://klasma.github.io/Logging_1276/kartor/A 21788-2026 karta.png", "A 21788-2026")</f>
        <v/>
      </c>
      <c r="Y35">
        <f>HYPERLINK("https://klasma.github.io/Logging_1276/kartor_geotiff/A 21788-2026 georefererad karta.tif", "A 21788-2026")</f>
        <v/>
      </c>
      <c r="AA35">
        <f>HYPERLINK("https://klasma.github.io/Logging_1276/klagomål/A 21788-2026 FSC-klagomål.docx", "A 21788-2026")</f>
        <v/>
      </c>
      <c r="AB35">
        <f>HYPERLINK("https://klasma.github.io/Logging_1276/klagomålsmail/A 21788-2026 FSC-klagomål mail.docx", "A 21788-2026")</f>
        <v/>
      </c>
      <c r="AC35">
        <f>HYPERLINK("https://klasma.github.io/Logging_1276/tillsyn/A 21788-2026 tillsynsbegäran.docx", "A 21788-2026")</f>
        <v/>
      </c>
      <c r="AD35">
        <f>HYPERLINK("https://klasma.github.io/Logging_1276/tillsynsmail/A 21788-2026 tillsynsbegäran mail.docx", "A 21788-2026")</f>
        <v/>
      </c>
    </row>
    <row r="36" ht="15" customHeight="1">
      <c r="A36" t="inlineStr">
        <is>
          <t>A 14892-2023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46225</v>
      </c>
      <c r="F36" t="inlineStr">
        <is>
          <t>SKÅNE LÄN</t>
        </is>
      </c>
      <c r="G36" t="inlineStr">
        <is>
          <t>KLIPPAN</t>
        </is>
      </c>
      <c r="I36" t="n">
        <v>2.7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14892-2023 artfynd.xlsx", "A 14892-2023")</f>
        <v/>
      </c>
      <c r="X36">
        <f>HYPERLINK("https://klasma.github.io/Logging_1276/kartor/A 14892-2023 karta.png", "A 14892-2023")</f>
        <v/>
      </c>
      <c r="Y36">
        <f>HYPERLINK("https://klasma.github.io/Logging_1276/kartor_geotiff/A 14892-2023 georefererad karta.tif", "A 14892-2023")</f>
        <v/>
      </c>
      <c r="AA36">
        <f>HYPERLINK("https://klasma.github.io/Logging_1276/klagomål/A 14892-2023 FSC-klagomål.docx", "A 14892-2023")</f>
        <v/>
      </c>
      <c r="AB36">
        <f>HYPERLINK("https://klasma.github.io/Logging_1276/klagomålsmail/A 14892-2023 FSC-klagomål mail.docx", "A 14892-2023")</f>
        <v/>
      </c>
      <c r="AC36">
        <f>HYPERLINK("https://klasma.github.io/Logging_1276/tillsyn/A 14892-2023 tillsynsbegäran.docx", "A 14892-2023")</f>
        <v/>
      </c>
      <c r="AD36">
        <f>HYPERLINK("https://klasma.github.io/Logging_1276/tillsynsmail/A 14892-2023 tillsynsbegäran mail.docx", "A 14892-2023")</f>
        <v/>
      </c>
      <c r="AE36">
        <f>HYPERLINK("https://klasma.github.io/Logging_1276/fåglar/A 14892-2023 prioriterade fågelarter.docx", "A 14892-2023")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46225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31279-2026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46225</v>
      </c>
      <c r="F38" t="inlineStr">
        <is>
          <t>SKÅNE LÄN</t>
        </is>
      </c>
      <c r="G38" t="inlineStr">
        <is>
          <t>KLIPPAN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31279-2026 artfynd.xlsx", "A 31279-2026")</f>
        <v/>
      </c>
      <c r="X38">
        <f>HYPERLINK("https://klasma.github.io/Logging_1276/kartor/A 31279-2026 karta.png", "A 31279-2026")</f>
        <v/>
      </c>
      <c r="Y38">
        <f>HYPERLINK("https://klasma.github.io/Logging_1276/kartor_geotiff/A 31279-2026 georefererad karta.tif", "A 31279-2026")</f>
        <v/>
      </c>
      <c r="AA38">
        <f>HYPERLINK("https://klasma.github.io/Logging_1276/klagomål/A 31279-2026 FSC-klagomål.docx", "A 31279-2026")</f>
        <v/>
      </c>
      <c r="AB38">
        <f>HYPERLINK("https://klasma.github.io/Logging_1276/klagomålsmail/A 31279-2026 FSC-klagomål mail.docx", "A 31279-2026")</f>
        <v/>
      </c>
      <c r="AC38">
        <f>HYPERLINK("https://klasma.github.io/Logging_1276/tillsyn/A 31279-2026 tillsynsbegäran.docx", "A 31279-2026")</f>
        <v/>
      </c>
      <c r="AD38">
        <f>HYPERLINK("https://klasma.github.io/Logging_1276/tillsynsmail/A 31279-2026 tillsynsbegäran mail.docx", "A 31279-2026")</f>
        <v/>
      </c>
    </row>
    <row r="39" ht="15" customHeight="1">
      <c r="A39" t="inlineStr">
        <is>
          <t>A 31525-2026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46223</v>
      </c>
      <c r="E39" s="1" t="n">
        <v>46225</v>
      </c>
      <c r="F39" t="inlineStr">
        <is>
          <t>SKÅNE LÄN</t>
        </is>
      </c>
      <c r="G39" t="inlineStr">
        <is>
          <t>KLIPPAN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Kruskantarell</t>
        </is>
      </c>
      <c r="W39">
        <f>HYPERLINK("https://klasma.github.io/Logging_1276/artfynd/A 31525-2026 artfynd.xlsx", "A 31525-2026")</f>
        <v/>
      </c>
      <c r="X39">
        <f>HYPERLINK("https://klasma.github.io/Logging_1276/kartor/A 31525-2026 karta.png", "A 31525-2026")</f>
        <v/>
      </c>
      <c r="Y39">
        <f>HYPERLINK("https://klasma.github.io/Logging_1276/kartor_geotiff/A 31525-2026 georefererad karta.tif", "A 31525-2026")</f>
        <v/>
      </c>
      <c r="AA39">
        <f>HYPERLINK("https://klasma.github.io/Logging_1276/klagomål/A 31525-2026 FSC-klagomål.docx", "A 31525-2026")</f>
        <v/>
      </c>
      <c r="AB39">
        <f>HYPERLINK("https://klasma.github.io/Logging_1276/klagomålsmail/A 31525-2026 FSC-klagomål mail.docx", "A 31525-2026")</f>
        <v/>
      </c>
      <c r="AC39">
        <f>HYPERLINK("https://klasma.github.io/Logging_1276/tillsyn/A 31525-2026 tillsynsbegäran.docx", "A 31525-2026")</f>
        <v/>
      </c>
      <c r="AD39">
        <f>HYPERLINK("https://klasma.github.io/Logging_1276/tillsynsmail/A 31525-2026 tillsynsbegäran mail.docx", "A 31525-2026")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46225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46225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46225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46225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46225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46225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46225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46225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46225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46225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46225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46225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46225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46225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46225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46225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46225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46225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46225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46225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46225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46225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46225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46225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46225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46225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46225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46225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46225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46225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46225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45341</v>
      </c>
      <c r="E71" s="1" t="n">
        <v>46225</v>
      </c>
      <c r="F71" t="inlineStr">
        <is>
          <t>SKÅNE LÄN</t>
        </is>
      </c>
      <c r="G71" t="inlineStr">
        <is>
          <t>KLIPPAN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46225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46225</v>
      </c>
      <c r="F73" t="inlineStr">
        <is>
          <t>SKÅNE LÄN</t>
        </is>
      </c>
      <c r="G73" t="inlineStr">
        <is>
          <t>KLIPPAN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46225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46225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46225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46225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46225</v>
      </c>
      <c r="F78" t="inlineStr">
        <is>
          <t>SKÅNE LÄN</t>
        </is>
      </c>
      <c r="G78" t="inlineStr">
        <is>
          <t>KLIPPAN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46225</v>
      </c>
      <c r="F79" t="inlineStr">
        <is>
          <t>SKÅNE LÄN</t>
        </is>
      </c>
      <c r="G79" t="inlineStr">
        <is>
          <t>KLIPPAN</t>
        </is>
      </c>
      <c r="I79" t="n">
        <v>20.9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45075</v>
      </c>
      <c r="E80" s="1" t="n">
        <v>46225</v>
      </c>
      <c r="F80" t="inlineStr">
        <is>
          <t>SKÅNE LÄN</t>
        </is>
      </c>
      <c r="G80" t="inlineStr">
        <is>
          <t>KLIPPAN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46225</v>
      </c>
      <c r="F81" t="inlineStr">
        <is>
          <t>SKÅNE LÄN</t>
        </is>
      </c>
      <c r="G81" t="inlineStr">
        <is>
          <t>KLIPPAN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46225</v>
      </c>
      <c r="F82" t="inlineStr">
        <is>
          <t>SKÅNE LÄN</t>
        </is>
      </c>
      <c r="G82" t="inlineStr">
        <is>
          <t>KLIPPAN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46225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54348-2022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46225</v>
      </c>
      <c r="F84" t="inlineStr">
        <is>
          <t>SKÅNE LÄN</t>
        </is>
      </c>
      <c r="G84" t="inlineStr">
        <is>
          <t>KLIPPAN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45641-2022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44845</v>
      </c>
      <c r="E85" s="1" t="n">
        <v>46225</v>
      </c>
      <c r="F85" t="inlineStr">
        <is>
          <t>SKÅNE LÄN</t>
        </is>
      </c>
      <c r="G85" t="inlineStr">
        <is>
          <t>KLIPPAN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46225</v>
      </c>
      <c r="F86" t="inlineStr">
        <is>
          <t>SKÅNE LÄN</t>
        </is>
      </c>
      <c r="G86" t="inlineStr">
        <is>
          <t>KLIPPAN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45573</v>
      </c>
      <c r="E87" s="1" t="n">
        <v>46225</v>
      </c>
      <c r="F87" t="inlineStr">
        <is>
          <t>SKÅNE LÄN</t>
        </is>
      </c>
      <c r="G87" t="inlineStr">
        <is>
          <t>KLIPPAN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46225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69394-2021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44531</v>
      </c>
      <c r="E89" s="1" t="n">
        <v>46225</v>
      </c>
      <c r="F89" t="inlineStr">
        <is>
          <t>SKÅNE LÄN</t>
        </is>
      </c>
      <c r="G89" t="inlineStr">
        <is>
          <t>KLIPPAN</t>
        </is>
      </c>
      <c r="H89" t="inlineStr">
        <is>
          <t>Övriga Aktiebolag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46038</v>
      </c>
      <c r="E90" s="1" t="n">
        <v>46225</v>
      </c>
      <c r="F90" t="inlineStr">
        <is>
          <t>SKÅNE LÄN</t>
        </is>
      </c>
      <c r="G90" t="inlineStr">
        <is>
          <t>KLIPPAN</t>
        </is>
      </c>
      <c r="I90" t="n">
        <v>7.9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27898-2025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46225</v>
      </c>
      <c r="F91" t="inlineStr">
        <is>
          <t>SKÅNE LÄN</t>
        </is>
      </c>
      <c r="G91" t="inlineStr">
        <is>
          <t>KLIPPAN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46225</v>
      </c>
      <c r="F92" t="inlineStr">
        <is>
          <t>SKÅNE LÄN</t>
        </is>
      </c>
      <c r="G92" t="inlineStr">
        <is>
          <t>KLIPPAN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46225</v>
      </c>
      <c r="F93" t="inlineStr">
        <is>
          <t>SKÅNE LÄN</t>
        </is>
      </c>
      <c r="G93" t="inlineStr">
        <is>
          <t>KLIPPAN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46225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45094</v>
      </c>
      <c r="E95" s="1" t="n">
        <v>46225</v>
      </c>
      <c r="F95" t="inlineStr">
        <is>
          <t>SKÅNE LÄN</t>
        </is>
      </c>
      <c r="G95" t="inlineStr">
        <is>
          <t>KLIPPAN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46225</v>
      </c>
      <c r="F96" t="inlineStr">
        <is>
          <t>SKÅNE LÄN</t>
        </is>
      </c>
      <c r="G96" t="inlineStr">
        <is>
          <t>KLIPPAN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55586-2021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44475</v>
      </c>
      <c r="E97" s="1" t="n">
        <v>46225</v>
      </c>
      <c r="F97" t="inlineStr">
        <is>
          <t>SKÅNE LÄN</t>
        </is>
      </c>
      <c r="G97" t="inlineStr">
        <is>
          <t>KLIPPAN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43855-2022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46225</v>
      </c>
      <c r="F98" t="inlineStr">
        <is>
          <t>SKÅNE LÄN</t>
        </is>
      </c>
      <c r="G98" t="inlineStr">
        <is>
          <t>KLIPPAN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29284-2025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45824</v>
      </c>
      <c r="E99" s="1" t="n">
        <v>46225</v>
      </c>
      <c r="F99" t="inlineStr">
        <is>
          <t>SKÅNE LÄN</t>
        </is>
      </c>
      <c r="G99" t="inlineStr">
        <is>
          <t>KLIPPAN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46225</v>
      </c>
      <c r="F100" t="inlineStr">
        <is>
          <t>SKÅNE LÄN</t>
        </is>
      </c>
      <c r="G100" t="inlineStr">
        <is>
          <t>KLIPPAN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46225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46225</v>
      </c>
      <c r="F102" t="inlineStr">
        <is>
          <t>SKÅNE LÄN</t>
        </is>
      </c>
      <c r="G102" t="inlineStr">
        <is>
          <t>KLIPPAN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46225</v>
      </c>
      <c r="F103" t="inlineStr">
        <is>
          <t>SKÅNE LÄN</t>
        </is>
      </c>
      <c r="G103" t="inlineStr">
        <is>
          <t>KLIPPAN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46225</v>
      </c>
      <c r="F104" t="inlineStr">
        <is>
          <t>SKÅNE LÄN</t>
        </is>
      </c>
      <c r="G104" t="inlineStr">
        <is>
          <t>KLIPPAN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46225</v>
      </c>
      <c r="F105" t="inlineStr">
        <is>
          <t>SKÅNE LÄN</t>
        </is>
      </c>
      <c r="G105" t="inlineStr">
        <is>
          <t>KLIPPAN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46225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10695-2023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44988</v>
      </c>
      <c r="E107" s="1" t="n">
        <v>46225</v>
      </c>
      <c r="F107" t="inlineStr">
        <is>
          <t>SKÅNE LÄN</t>
        </is>
      </c>
      <c r="G107" t="inlineStr">
        <is>
          <t>KLIPPAN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46225</v>
      </c>
      <c r="F108" t="inlineStr">
        <is>
          <t>SKÅNE LÄN</t>
        </is>
      </c>
      <c r="G108" t="inlineStr">
        <is>
          <t>KLIPPAN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46225</v>
      </c>
      <c r="F109" t="inlineStr">
        <is>
          <t>SKÅNE LÄN</t>
        </is>
      </c>
      <c r="G109" t="inlineStr">
        <is>
          <t>KLIPPAN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46225</v>
      </c>
      <c r="F110" t="inlineStr">
        <is>
          <t>SKÅNE LÄN</t>
        </is>
      </c>
      <c r="G110" t="inlineStr">
        <is>
          <t>KLIPPAN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46225</v>
      </c>
      <c r="F111" t="inlineStr">
        <is>
          <t>SKÅNE LÄN</t>
        </is>
      </c>
      <c r="G111" t="inlineStr">
        <is>
          <t>KLIPPAN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45739</v>
      </c>
      <c r="E112" s="1" t="n">
        <v>46225</v>
      </c>
      <c r="F112" t="inlineStr">
        <is>
          <t>SKÅNE LÄN</t>
        </is>
      </c>
      <c r="G112" t="inlineStr">
        <is>
          <t>KLIPPAN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46225</v>
      </c>
      <c r="F113" t="inlineStr">
        <is>
          <t>SKÅNE LÄN</t>
        </is>
      </c>
      <c r="G113" t="inlineStr">
        <is>
          <t>KLIPPAN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45950</v>
      </c>
      <c r="E114" s="1" t="n">
        <v>46225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45519</v>
      </c>
      <c r="E115" s="1" t="n">
        <v>46225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44901</v>
      </c>
      <c r="E116" s="1" t="n">
        <v>46225</v>
      </c>
      <c r="F116" t="inlineStr">
        <is>
          <t>SKÅNE LÄN</t>
        </is>
      </c>
      <c r="G116" t="inlineStr">
        <is>
          <t>KLIPPAN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45972</v>
      </c>
      <c r="E117" s="1" t="n">
        <v>46225</v>
      </c>
      <c r="F117" t="inlineStr">
        <is>
          <t>SKÅNE LÄN</t>
        </is>
      </c>
      <c r="G117" t="inlineStr">
        <is>
          <t>KLIPPAN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44928</v>
      </c>
      <c r="E118" s="1" t="n">
        <v>46225</v>
      </c>
      <c r="F118" t="inlineStr">
        <is>
          <t>SKÅNE LÄN</t>
        </is>
      </c>
      <c r="G118" t="inlineStr">
        <is>
          <t>KLIPPAN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46225</v>
      </c>
      <c r="F119" t="inlineStr">
        <is>
          <t>SKÅNE LÄN</t>
        </is>
      </c>
      <c r="G119" t="inlineStr">
        <is>
          <t>KLIPPAN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20088-2026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46225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57687-2025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45981</v>
      </c>
      <c r="E121" s="1" t="n">
        <v>46225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20082-2026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46136</v>
      </c>
      <c r="E122" s="1" t="n">
        <v>46225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44609</v>
      </c>
      <c r="E123" s="1" t="n">
        <v>46225</v>
      </c>
      <c r="F123" t="inlineStr">
        <is>
          <t>SKÅNE LÄN</t>
        </is>
      </c>
      <c r="G123" t="inlineStr">
        <is>
          <t>KLIPPAN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46225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46225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46225</v>
      </c>
      <c r="F126" t="inlineStr">
        <is>
          <t>SKÅNE LÄN</t>
        </is>
      </c>
      <c r="G126" t="inlineStr">
        <is>
          <t>KLIPPAN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45013</v>
      </c>
      <c r="E127" s="1" t="n">
        <v>46225</v>
      </c>
      <c r="F127" t="inlineStr">
        <is>
          <t>SKÅNE LÄN</t>
        </is>
      </c>
      <c r="G127" t="inlineStr">
        <is>
          <t>KLIPPAN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20628-2026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46225</v>
      </c>
      <c r="F128" t="inlineStr">
        <is>
          <t>SKÅNE LÄN</t>
        </is>
      </c>
      <c r="G128" t="inlineStr">
        <is>
          <t>KLIPPAN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46225</v>
      </c>
      <c r="F129" t="inlineStr">
        <is>
          <t>SKÅNE LÄN</t>
        </is>
      </c>
      <c r="G129" t="inlineStr">
        <is>
          <t>KLIPPAN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20128-2023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45055</v>
      </c>
      <c r="E130" s="1" t="n">
        <v>46225</v>
      </c>
      <c r="F130" t="inlineStr">
        <is>
          <t>SKÅNE LÄN</t>
        </is>
      </c>
      <c r="G130" t="inlineStr">
        <is>
          <t>KLIPPAN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46225</v>
      </c>
      <c r="F131" t="inlineStr">
        <is>
          <t>SKÅNE LÄN</t>
        </is>
      </c>
      <c r="G131" t="inlineStr">
        <is>
          <t>KLIPPAN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46225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46225</v>
      </c>
      <c r="F133" t="inlineStr">
        <is>
          <t>SKÅNE LÄN</t>
        </is>
      </c>
      <c r="G133" t="inlineStr">
        <is>
          <t>KLIPPAN</t>
        </is>
      </c>
      <c r="I133" t="n">
        <v>9.699999999999999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60783-2023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45260</v>
      </c>
      <c r="E134" s="1" t="n">
        <v>46225</v>
      </c>
      <c r="F134" t="inlineStr">
        <is>
          <t>SKÅNE LÄN</t>
        </is>
      </c>
      <c r="G134" t="inlineStr">
        <is>
          <t>KLIPPAN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46225</v>
      </c>
      <c r="F135" t="inlineStr">
        <is>
          <t>SKÅNE LÄN</t>
        </is>
      </c>
      <c r="G135" t="inlineStr">
        <is>
          <t>KLIPPAN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45260</v>
      </c>
      <c r="E136" s="1" t="n">
        <v>46225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45005</v>
      </c>
      <c r="E137" s="1" t="n">
        <v>46225</v>
      </c>
      <c r="F137" t="inlineStr">
        <is>
          <t>SKÅNE LÄN</t>
        </is>
      </c>
      <c r="G137" t="inlineStr">
        <is>
          <t>KLIPPAN</t>
        </is>
      </c>
      <c r="H137" t="inlineStr">
        <is>
          <t>Övriga Aktiebolag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21601-2026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46225</v>
      </c>
      <c r="F138" t="inlineStr">
        <is>
          <t>SKÅNE LÄN</t>
        </is>
      </c>
      <c r="G138" t="inlineStr">
        <is>
          <t>KLIPPAN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21778-2026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46225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46225</v>
      </c>
      <c r="F140" t="inlineStr">
        <is>
          <t>SKÅNE LÄN</t>
        </is>
      </c>
      <c r="G140" t="inlineStr">
        <is>
          <t>KLIPPAN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46225</v>
      </c>
      <c r="F141" t="inlineStr">
        <is>
          <t>SKÅNE LÄN</t>
        </is>
      </c>
      <c r="G141" t="inlineStr">
        <is>
          <t>KLIPPAN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21609-2026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46149</v>
      </c>
      <c r="E142" s="1" t="n">
        <v>46225</v>
      </c>
      <c r="F142" t="inlineStr">
        <is>
          <t>SKÅNE LÄN</t>
        </is>
      </c>
      <c r="G142" t="inlineStr">
        <is>
          <t>KLIPPAN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21607-2026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46225</v>
      </c>
      <c r="F143" t="inlineStr">
        <is>
          <t>SKÅNE LÄN</t>
        </is>
      </c>
      <c r="G143" t="inlineStr">
        <is>
          <t>KLIPPAN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46225</v>
      </c>
      <c r="F144" t="inlineStr">
        <is>
          <t>SKÅNE LÄN</t>
        </is>
      </c>
      <c r="G144" t="inlineStr">
        <is>
          <t>KLIPPAN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46225</v>
      </c>
      <c r="F145" t="inlineStr">
        <is>
          <t>SKÅNE LÄN</t>
        </is>
      </c>
      <c r="G145" t="inlineStr">
        <is>
          <t>KLIPPAN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46225</v>
      </c>
      <c r="F146" t="inlineStr">
        <is>
          <t>SKÅNE LÄN</t>
        </is>
      </c>
      <c r="G146" t="inlineStr">
        <is>
          <t>KLIPPAN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46225</v>
      </c>
      <c r="F147" t="inlineStr">
        <is>
          <t>SKÅNE LÄN</t>
        </is>
      </c>
      <c r="G147" t="inlineStr">
        <is>
          <t>KLIPPAN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46225</v>
      </c>
      <c r="F148" t="inlineStr">
        <is>
          <t>SKÅNE LÄN</t>
        </is>
      </c>
      <c r="G148" t="inlineStr">
        <is>
          <t>KLIPPAN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63499-2025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46225</v>
      </c>
      <c r="F149" t="inlineStr">
        <is>
          <t>SKÅNE LÄN</t>
        </is>
      </c>
      <c r="G149" t="inlineStr">
        <is>
          <t>KLIPPAN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45055</v>
      </c>
      <c r="E150" s="1" t="n">
        <v>46225</v>
      </c>
      <c r="F150" t="inlineStr">
        <is>
          <t>SKÅNE LÄN</t>
        </is>
      </c>
      <c r="G150" t="inlineStr">
        <is>
          <t>KLIPPAN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45238</v>
      </c>
      <c r="E151" s="1" t="n">
        <v>46225</v>
      </c>
      <c r="F151" t="inlineStr">
        <is>
          <t>SKÅNE LÄN</t>
        </is>
      </c>
      <c r="G151" t="inlineStr">
        <is>
          <t>KLIPPAN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45474</v>
      </c>
      <c r="E152" s="1" t="n">
        <v>46225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28490-2023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46225</v>
      </c>
      <c r="F153" t="inlineStr">
        <is>
          <t>SKÅNE LÄN</t>
        </is>
      </c>
      <c r="G153" t="inlineStr">
        <is>
          <t>KLIPPAN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46225</v>
      </c>
      <c r="F154" t="inlineStr">
        <is>
          <t>SKÅNE LÄN</t>
        </is>
      </c>
      <c r="G154" t="inlineStr">
        <is>
          <t>KLIPPAN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46225</v>
      </c>
      <c r="F155" t="inlineStr">
        <is>
          <t>SKÅNE LÄN</t>
        </is>
      </c>
      <c r="G155" t="inlineStr">
        <is>
          <t>KLIPPAN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45005</v>
      </c>
      <c r="E156" s="1" t="n">
        <v>46225</v>
      </c>
      <c r="F156" t="inlineStr">
        <is>
          <t>SKÅNE LÄN</t>
        </is>
      </c>
      <c r="G156" t="inlineStr">
        <is>
          <t>KLIPPAN</t>
        </is>
      </c>
      <c r="H156" t="inlineStr">
        <is>
          <t>Övriga Aktiebolag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45013</v>
      </c>
      <c r="E157" s="1" t="n">
        <v>46225</v>
      </c>
      <c r="F157" t="inlineStr">
        <is>
          <t>SKÅNE LÄN</t>
        </is>
      </c>
      <c r="G157" t="inlineStr">
        <is>
          <t>KLIPPAN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46225</v>
      </c>
      <c r="F158" t="inlineStr">
        <is>
          <t>SKÅNE LÄN</t>
        </is>
      </c>
      <c r="G158" t="inlineStr">
        <is>
          <t>KLIPPAN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55587-2021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44475</v>
      </c>
      <c r="E159" s="1" t="n">
        <v>46225</v>
      </c>
      <c r="F159" t="inlineStr">
        <is>
          <t>SKÅNE LÄN</t>
        </is>
      </c>
      <c r="G159" t="inlineStr">
        <is>
          <t>KLIPPAN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30240-2026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46225</v>
      </c>
      <c r="F160" t="inlineStr">
        <is>
          <t>SKÅNE LÄN</t>
        </is>
      </c>
      <c r="G160" t="inlineStr">
        <is>
          <t>KLIPPAN</t>
        </is>
      </c>
      <c r="H160" t="inlineStr">
        <is>
          <t>Övriga Aktiebolag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30353-2026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46209</v>
      </c>
      <c r="E161" s="1" t="n">
        <v>46225</v>
      </c>
      <c r="F161" t="inlineStr">
        <is>
          <t>SKÅNE LÄN</t>
        </is>
      </c>
      <c r="G161" t="inlineStr">
        <is>
          <t>KLIPPAN</t>
        </is>
      </c>
      <c r="H161" t="inlineStr">
        <is>
          <t>Sveaskog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46209</v>
      </c>
      <c r="E162" s="1" t="n">
        <v>46225</v>
      </c>
      <c r="F162" t="inlineStr">
        <is>
          <t>SKÅNE LÄN</t>
        </is>
      </c>
      <c r="G162" t="inlineStr">
        <is>
          <t>KLIPPAN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69041-2021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44529</v>
      </c>
      <c r="E163" s="1" t="n">
        <v>46225</v>
      </c>
      <c r="F163" t="inlineStr">
        <is>
          <t>SKÅNE LÄN</t>
        </is>
      </c>
      <c r="G163" t="inlineStr">
        <is>
          <t>KLIPPAN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45077</v>
      </c>
      <c r="E164" s="1" t="n">
        <v>46225</v>
      </c>
      <c r="F164" t="inlineStr">
        <is>
          <t>SKÅNE LÄN</t>
        </is>
      </c>
      <c r="G164" t="inlineStr">
        <is>
          <t>KLIPPAN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45079</v>
      </c>
      <c r="E165" s="1" t="n">
        <v>46225</v>
      </c>
      <c r="F165" t="inlineStr">
        <is>
          <t>SKÅNE LÄN</t>
        </is>
      </c>
      <c r="G165" t="inlineStr">
        <is>
          <t>KLIPPAN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44978</v>
      </c>
      <c r="E166" s="1" t="n">
        <v>46225</v>
      </c>
      <c r="F166" t="inlineStr">
        <is>
          <t>SKÅNE LÄN</t>
        </is>
      </c>
      <c r="G166" t="inlineStr">
        <is>
          <t>KLIPPAN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46225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44930</v>
      </c>
      <c r="E168" s="1" t="n">
        <v>46225</v>
      </c>
      <c r="F168" t="inlineStr">
        <is>
          <t>SKÅNE LÄN</t>
        </is>
      </c>
      <c r="G168" t="inlineStr">
        <is>
          <t>KLIPPAN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45055</v>
      </c>
      <c r="E169" s="1" t="n">
        <v>46225</v>
      </c>
      <c r="F169" t="inlineStr">
        <is>
          <t>SKÅNE LÄN</t>
        </is>
      </c>
      <c r="G169" t="inlineStr">
        <is>
          <t>KLIPPAN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46216</v>
      </c>
      <c r="E170" s="1" t="n">
        <v>46225</v>
      </c>
      <c r="F170" t="inlineStr">
        <is>
          <t>SKÅNE LÄN</t>
        </is>
      </c>
      <c r="G170" t="inlineStr">
        <is>
          <t>KLIPPAN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55588-2021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44475</v>
      </c>
      <c r="E171" s="1" t="n">
        <v>46225</v>
      </c>
      <c r="F171" t="inlineStr">
        <is>
          <t>SKÅNE LÄN</t>
        </is>
      </c>
      <c r="G171" t="inlineStr">
        <is>
          <t>KLIPPAN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46225</v>
      </c>
      <c r="F172" t="inlineStr">
        <is>
          <t>SKÅNE LÄN</t>
        </is>
      </c>
      <c r="G172" t="inlineStr">
        <is>
          <t>KLIPPAN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46225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45588</v>
      </c>
      <c r="E174" s="1" t="n">
        <v>46225</v>
      </c>
      <c r="F174" t="inlineStr">
        <is>
          <t>SKÅNE LÄN</t>
        </is>
      </c>
      <c r="G174" t="inlineStr">
        <is>
          <t>KLIPPAN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46225</v>
      </c>
      <c r="F175" t="inlineStr">
        <is>
          <t>SKÅNE LÄN</t>
        </is>
      </c>
      <c r="G175" t="inlineStr">
        <is>
          <t>KLIPPAN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46225</v>
      </c>
      <c r="F176" t="inlineStr">
        <is>
          <t>SKÅNE LÄN</t>
        </is>
      </c>
      <c r="G176" t="inlineStr">
        <is>
          <t>KLIPPAN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46225</v>
      </c>
      <c r="F177" t="inlineStr">
        <is>
          <t>SKÅNE LÄN</t>
        </is>
      </c>
      <c r="G177" t="inlineStr">
        <is>
          <t>KLIPPAN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45104</v>
      </c>
      <c r="E178" s="1" t="n">
        <v>46225</v>
      </c>
      <c r="F178" t="inlineStr">
        <is>
          <t>SKÅNE LÄN</t>
        </is>
      </c>
      <c r="G178" t="inlineStr">
        <is>
          <t>KLIPPAN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46168</v>
      </c>
      <c r="E179" s="1" t="n">
        <v>46225</v>
      </c>
      <c r="F179" t="inlineStr">
        <is>
          <t>SKÅNE LÄN</t>
        </is>
      </c>
      <c r="G179" t="inlineStr">
        <is>
          <t>KLIPPAN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46225</v>
      </c>
      <c r="F180" t="inlineStr">
        <is>
          <t>SKÅNE LÄN</t>
        </is>
      </c>
      <c r="G180" t="inlineStr">
        <is>
          <t>KLIPPAN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46225</v>
      </c>
      <c r="F181" t="inlineStr">
        <is>
          <t>SKÅNE LÄN</t>
        </is>
      </c>
      <c r="G181" t="inlineStr">
        <is>
          <t>KLIPPAN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46225</v>
      </c>
      <c r="F182" t="inlineStr">
        <is>
          <t>SKÅNE LÄN</t>
        </is>
      </c>
      <c r="G182" t="inlineStr">
        <is>
          <t>KLIPPAN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46177</v>
      </c>
      <c r="E183" s="1" t="n">
        <v>46225</v>
      </c>
      <c r="F183" t="inlineStr">
        <is>
          <t>SKÅNE LÄN</t>
        </is>
      </c>
      <c r="G183" t="inlineStr">
        <is>
          <t>KLIPPAN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46225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46210</v>
      </c>
      <c r="E185" s="1" t="n">
        <v>46225</v>
      </c>
      <c r="F185" t="inlineStr">
        <is>
          <t>SKÅNE LÄN</t>
        </is>
      </c>
      <c r="G185" t="inlineStr">
        <is>
          <t>KLIPPAN</t>
        </is>
      </c>
      <c r="H185" t="inlineStr">
        <is>
          <t>Övriga Aktiebolag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30422-2026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46209</v>
      </c>
      <c r="E186" s="1" t="n">
        <v>46225</v>
      </c>
      <c r="F186" t="inlineStr">
        <is>
          <t>SKÅNE LÄN</t>
        </is>
      </c>
      <c r="G186" t="inlineStr">
        <is>
          <t>KLIPPAN</t>
        </is>
      </c>
      <c r="H186" t="inlineStr">
        <is>
          <t>Övriga Aktiebolag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46225</v>
      </c>
      <c r="F187" t="inlineStr">
        <is>
          <t>SKÅNE LÄN</t>
        </is>
      </c>
      <c r="G187" t="inlineStr">
        <is>
          <t>KLIPPAN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46225</v>
      </c>
      <c r="F188" t="inlineStr">
        <is>
          <t>SKÅNE LÄN</t>
        </is>
      </c>
      <c r="G188" t="inlineStr">
        <is>
          <t>KLIPPAN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46225</v>
      </c>
      <c r="F189" t="inlineStr">
        <is>
          <t>SKÅNE LÄN</t>
        </is>
      </c>
      <c r="G189" t="inlineStr">
        <is>
          <t>KLIPPAN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47967-2021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46225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46225</v>
      </c>
      <c r="F191" t="inlineStr">
        <is>
          <t>SKÅNE LÄN</t>
        </is>
      </c>
      <c r="G191" t="inlineStr">
        <is>
          <t>KLIPPAN</t>
        </is>
      </c>
      <c r="H191" t="inlineStr">
        <is>
          <t>Sveaskog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46225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31588-2026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46223</v>
      </c>
      <c r="E193" s="1" t="n">
        <v>46225</v>
      </c>
      <c r="F193" t="inlineStr">
        <is>
          <t>SKÅNE LÄN</t>
        </is>
      </c>
      <c r="G193" t="inlineStr">
        <is>
          <t>KLIPPAN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46225</v>
      </c>
      <c r="F194" t="inlineStr">
        <is>
          <t>SKÅNE LÄN</t>
        </is>
      </c>
      <c r="G194" t="inlineStr">
        <is>
          <t>KLIPPAN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45275</v>
      </c>
      <c r="E195" s="1" t="n">
        <v>46225</v>
      </c>
      <c r="F195" t="inlineStr">
        <is>
          <t>SKÅNE LÄN</t>
        </is>
      </c>
      <c r="G195" t="inlineStr">
        <is>
          <t>KLIPPAN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11676-2023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44992</v>
      </c>
      <c r="E196" s="1" t="n">
        <v>46225</v>
      </c>
      <c r="F196" t="inlineStr">
        <is>
          <t>SKÅNE LÄN</t>
        </is>
      </c>
      <c r="G196" t="inlineStr">
        <is>
          <t>KLIPPAN</t>
        </is>
      </c>
      <c r="H196" t="inlineStr">
        <is>
          <t>Övriga Aktiebolag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44992</v>
      </c>
      <c r="E197" s="1" t="n">
        <v>46225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45040</v>
      </c>
      <c r="E198" s="1" t="n">
        <v>46225</v>
      </c>
      <c r="F198" t="inlineStr">
        <is>
          <t>SKÅNE LÄN</t>
        </is>
      </c>
      <c r="G198" t="inlineStr">
        <is>
          <t>KLIPPAN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44944</v>
      </c>
      <c r="E199" s="1" t="n">
        <v>46225</v>
      </c>
      <c r="F199" t="inlineStr">
        <is>
          <t>SKÅNE LÄN</t>
        </is>
      </c>
      <c r="G199" t="inlineStr">
        <is>
          <t>KLIPPAN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46225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11.6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46225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45673</v>
      </c>
      <c r="E202" s="1" t="n">
        <v>46225</v>
      </c>
      <c r="F202" t="inlineStr">
        <is>
          <t>SKÅNE LÄN</t>
        </is>
      </c>
      <c r="G202" t="inlineStr">
        <is>
          <t>KLIPPAN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45324</v>
      </c>
      <c r="E203" s="1" t="n">
        <v>46225</v>
      </c>
      <c r="F203" t="inlineStr">
        <is>
          <t>SKÅNE LÄN</t>
        </is>
      </c>
      <c r="G203" t="inlineStr">
        <is>
          <t>KLIPPAN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41294-2022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46225</v>
      </c>
      <c r="F204" t="inlineStr">
        <is>
          <t>SKÅNE LÄN</t>
        </is>
      </c>
      <c r="G204" t="inlineStr">
        <is>
          <t>KLIPPAN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46225</v>
      </c>
      <c r="F205" t="inlineStr">
        <is>
          <t>SKÅNE LÄN</t>
        </is>
      </c>
      <c r="G205" t="inlineStr">
        <is>
          <t>KLIPPAN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46225</v>
      </c>
      <c r="F206" t="inlineStr">
        <is>
          <t>SKÅNE LÄN</t>
        </is>
      </c>
      <c r="G206" t="inlineStr">
        <is>
          <t>KLIPPAN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45223</v>
      </c>
      <c r="E207" s="1" t="n">
        <v>46225</v>
      </c>
      <c r="F207" t="inlineStr">
        <is>
          <t>SKÅNE LÄN</t>
        </is>
      </c>
      <c r="G207" t="inlineStr">
        <is>
          <t>KLIPPAN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45199</v>
      </c>
      <c r="E208" s="1" t="n">
        <v>46225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45104</v>
      </c>
      <c r="E209" s="1" t="n">
        <v>46225</v>
      </c>
      <c r="F209" t="inlineStr">
        <is>
          <t>SKÅNE LÄN</t>
        </is>
      </c>
      <c r="G209" t="inlineStr">
        <is>
          <t>KLIPPAN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39238-2022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46225</v>
      </c>
      <c r="F210" t="inlineStr">
        <is>
          <t>SKÅNE LÄN</t>
        </is>
      </c>
      <c r="G210" t="inlineStr">
        <is>
          <t>KLIPPAN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46225</v>
      </c>
      <c r="F211" t="inlineStr">
        <is>
          <t>SKÅNE LÄN</t>
        </is>
      </c>
      <c r="G211" t="inlineStr">
        <is>
          <t>KLIPPAN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15442-2022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44659</v>
      </c>
      <c r="E212" s="1" t="n">
        <v>46225</v>
      </c>
      <c r="F212" t="inlineStr">
        <is>
          <t>SKÅNE LÄN</t>
        </is>
      </c>
      <c r="G212" t="inlineStr">
        <is>
          <t>KLIPPAN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45209</v>
      </c>
      <c r="E213" s="1" t="n">
        <v>46225</v>
      </c>
      <c r="F213" t="inlineStr">
        <is>
          <t>SKÅNE LÄN</t>
        </is>
      </c>
      <c r="G213" t="inlineStr">
        <is>
          <t>KLIPPAN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20012-2022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44697</v>
      </c>
      <c r="E214" s="1" t="n">
        <v>46225</v>
      </c>
      <c r="F214" t="inlineStr">
        <is>
          <t>SKÅNE LÄN</t>
        </is>
      </c>
      <c r="G214" t="inlineStr">
        <is>
          <t>KLIPPAN</t>
        </is>
      </c>
      <c r="I214" t="n">
        <v>17.2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44593</v>
      </c>
      <c r="E215" s="1" t="n">
        <v>46225</v>
      </c>
      <c r="F215" t="inlineStr">
        <is>
          <t>SKÅNE LÄN</t>
        </is>
      </c>
      <c r="G215" t="inlineStr">
        <is>
          <t>KLIPPAN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243-2025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45660</v>
      </c>
      <c r="E216" s="1" t="n">
        <v>46225</v>
      </c>
      <c r="F216" t="inlineStr">
        <is>
          <t>SKÅNE LÄN</t>
        </is>
      </c>
      <c r="G216" t="inlineStr">
        <is>
          <t>KLIPPAN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40762-2021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44420</v>
      </c>
      <c r="E217" s="1" t="n">
        <v>46225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45442</v>
      </c>
      <c r="E218" s="1" t="n">
        <v>46225</v>
      </c>
      <c r="F218" t="inlineStr">
        <is>
          <t>SKÅNE LÄN</t>
        </is>
      </c>
      <c r="G218" t="inlineStr">
        <is>
          <t>KLIPPAN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46728-2023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45198</v>
      </c>
      <c r="E219" s="1" t="n">
        <v>46225</v>
      </c>
      <c r="F219" t="inlineStr">
        <is>
          <t>SKÅNE LÄN</t>
        </is>
      </c>
      <c r="G219" t="inlineStr">
        <is>
          <t>KLIPPAN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44722</v>
      </c>
      <c r="E220" s="1" t="n">
        <v>46225</v>
      </c>
      <c r="F220" t="inlineStr">
        <is>
          <t>SKÅNE LÄN</t>
        </is>
      </c>
      <c r="G220" t="inlineStr">
        <is>
          <t>KLIPPAN</t>
        </is>
      </c>
      <c r="I220" t="n">
        <v>7.8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46225</v>
      </c>
      <c r="F221" t="inlineStr">
        <is>
          <t>SKÅNE LÄN</t>
        </is>
      </c>
      <c r="G221" t="inlineStr">
        <is>
          <t>KLIPPAN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44726</v>
      </c>
      <c r="E222" s="1" t="n">
        <v>46225</v>
      </c>
      <c r="F222" t="inlineStr">
        <is>
          <t>SKÅNE LÄN</t>
        </is>
      </c>
      <c r="G222" t="inlineStr">
        <is>
          <t>KLIPPAN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46225</v>
      </c>
      <c r="F223" t="inlineStr">
        <is>
          <t>SKÅNE LÄN</t>
        </is>
      </c>
      <c r="G223" t="inlineStr">
        <is>
          <t>KLIPPAN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37068-2023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46225</v>
      </c>
      <c r="F224" t="inlineStr">
        <is>
          <t>SKÅNE LÄN</t>
        </is>
      </c>
      <c r="G224" t="inlineStr">
        <is>
          <t>KLIPPAN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46225</v>
      </c>
      <c r="F225" t="inlineStr">
        <is>
          <t>SKÅNE LÄN</t>
        </is>
      </c>
      <c r="G225" t="inlineStr">
        <is>
          <t>KLIPPAN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45078</v>
      </c>
      <c r="E226" s="1" t="n">
        <v>46225</v>
      </c>
      <c r="F226" t="inlineStr">
        <is>
          <t>SKÅNE LÄN</t>
        </is>
      </c>
      <c r="G226" t="inlineStr">
        <is>
          <t>KLIPPAN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46225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45237</v>
      </c>
      <c r="E228" s="1" t="n">
        <v>46225</v>
      </c>
      <c r="F228" t="inlineStr">
        <is>
          <t>SKÅNE LÄN</t>
        </is>
      </c>
      <c r="G228" t="inlineStr">
        <is>
          <t>KLIPPAN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45320</v>
      </c>
      <c r="E229" s="1" t="n">
        <v>46225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46225</v>
      </c>
      <c r="F230" t="inlineStr">
        <is>
          <t>SKÅNE LÄN</t>
        </is>
      </c>
      <c r="G230" t="inlineStr">
        <is>
          <t>KLIPPAN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27813-2023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45098</v>
      </c>
      <c r="E231" s="1" t="n">
        <v>46225</v>
      </c>
      <c r="F231" t="inlineStr">
        <is>
          <t>SKÅNE LÄN</t>
        </is>
      </c>
      <c r="G231" t="inlineStr">
        <is>
          <t>KLIPPAN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44697</v>
      </c>
      <c r="E232" s="1" t="n">
        <v>46225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45212</v>
      </c>
      <c r="E233" s="1" t="n">
        <v>46225</v>
      </c>
      <c r="F233" t="inlineStr">
        <is>
          <t>SKÅNE LÄN</t>
        </is>
      </c>
      <c r="G233" t="inlineStr">
        <is>
          <t>KLIPPAN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45474</v>
      </c>
      <c r="E234" s="1" t="n">
        <v>46225</v>
      </c>
      <c r="F234" t="inlineStr">
        <is>
          <t>SKÅNE LÄN</t>
        </is>
      </c>
      <c r="G234" t="inlineStr">
        <is>
          <t>KLIPPAN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44880</v>
      </c>
      <c r="E235" s="1" t="n">
        <v>46225</v>
      </c>
      <c r="F235" t="inlineStr">
        <is>
          <t>SKÅNE LÄN</t>
        </is>
      </c>
      <c r="G235" t="inlineStr">
        <is>
          <t>KLIPPAN</t>
        </is>
      </c>
      <c r="I235" t="n">
        <v>7.6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68856-2021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44530</v>
      </c>
      <c r="E236" s="1" t="n">
        <v>46225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46225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46225</v>
      </c>
      <c r="F238" t="inlineStr">
        <is>
          <t>SKÅNE LÄN</t>
        </is>
      </c>
      <c r="G238" t="inlineStr">
        <is>
          <t>KLIPPAN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44936</v>
      </c>
      <c r="E239" s="1" t="n">
        <v>46225</v>
      </c>
      <c r="F239" t="inlineStr">
        <is>
          <t>SKÅNE LÄN</t>
        </is>
      </c>
      <c r="G239" t="inlineStr">
        <is>
          <t>KLIPPAN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39244-2022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44817</v>
      </c>
      <c r="E240" s="1" t="n">
        <v>46225</v>
      </c>
      <c r="F240" t="inlineStr">
        <is>
          <t>SKÅNE LÄN</t>
        </is>
      </c>
      <c r="G240" t="inlineStr">
        <is>
          <t>KLIPPAN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46225</v>
      </c>
      <c r="F241" t="inlineStr">
        <is>
          <t>SKÅNE LÄN</t>
        </is>
      </c>
      <c r="G241" t="inlineStr">
        <is>
          <t>KLIPPAN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38323-2023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46225</v>
      </c>
      <c r="F242" t="inlineStr">
        <is>
          <t>SKÅNE LÄN</t>
        </is>
      </c>
      <c r="G242" t="inlineStr">
        <is>
          <t>KLIPPAN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46225</v>
      </c>
      <c r="F243" t="inlineStr">
        <is>
          <t>SKÅNE LÄN</t>
        </is>
      </c>
      <c r="G243" t="inlineStr">
        <is>
          <t>KLIPPAN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44593</v>
      </c>
      <c r="E244" s="1" t="n">
        <v>46225</v>
      </c>
      <c r="F244" t="inlineStr">
        <is>
          <t>SKÅNE LÄN</t>
        </is>
      </c>
      <c r="G244" t="inlineStr">
        <is>
          <t>KLIPPAN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46225</v>
      </c>
      <c r="F245" t="inlineStr">
        <is>
          <t>SKÅNE LÄN</t>
        </is>
      </c>
      <c r="G245" t="inlineStr">
        <is>
          <t>KLIPPAN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46225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9.300000000000001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46225</v>
      </c>
      <c r="F247" t="inlineStr">
        <is>
          <t>SKÅNE LÄN</t>
        </is>
      </c>
      <c r="G247" t="inlineStr">
        <is>
          <t>KLIPPAN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44944</v>
      </c>
      <c r="E248" s="1" t="n">
        <v>46225</v>
      </c>
      <c r="F248" t="inlineStr">
        <is>
          <t>SKÅNE LÄN</t>
        </is>
      </c>
      <c r="G248" t="inlineStr">
        <is>
          <t>KLIPPAN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46225</v>
      </c>
      <c r="F249" t="inlineStr">
        <is>
          <t>SKÅNE LÄN</t>
        </is>
      </c>
      <c r="G249" t="inlineStr">
        <is>
          <t>KLIPPAN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37967-2024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46225</v>
      </c>
      <c r="F250" t="inlineStr">
        <is>
          <t>SKÅNE LÄN</t>
        </is>
      </c>
      <c r="G250" t="inlineStr">
        <is>
          <t>KLIPPAN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34051-2024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45523</v>
      </c>
      <c r="E251" s="1" t="n">
        <v>46225</v>
      </c>
      <c r="F251" t="inlineStr">
        <is>
          <t>SKÅNE LÄN</t>
        </is>
      </c>
      <c r="G251" t="inlineStr">
        <is>
          <t>KLIPPAN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45224</v>
      </c>
      <c r="E252" s="1" t="n">
        <v>46225</v>
      </c>
      <c r="F252" t="inlineStr">
        <is>
          <t>SKÅNE LÄN</t>
        </is>
      </c>
      <c r="G252" t="inlineStr">
        <is>
          <t>KLIPPAN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44855</v>
      </c>
      <c r="E253" s="1" t="n">
        <v>46225</v>
      </c>
      <c r="F253" t="inlineStr">
        <is>
          <t>SKÅNE LÄN</t>
        </is>
      </c>
      <c r="G253" t="inlineStr">
        <is>
          <t>KLIPPAN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45399</v>
      </c>
      <c r="E254" s="1" t="n">
        <v>46225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45751</v>
      </c>
      <c r="E255" s="1" t="n">
        <v>46225</v>
      </c>
      <c r="F255" t="inlineStr">
        <is>
          <t>SKÅNE LÄN</t>
        </is>
      </c>
      <c r="G255" t="inlineStr">
        <is>
          <t>KLIPPAN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45739</v>
      </c>
      <c r="E256" s="1" t="n">
        <v>46225</v>
      </c>
      <c r="F256" t="inlineStr">
        <is>
          <t>SKÅNE LÄN</t>
        </is>
      </c>
      <c r="G256" t="inlineStr">
        <is>
          <t>KLIPPAN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44991</v>
      </c>
      <c r="E257" s="1" t="n">
        <v>46225</v>
      </c>
      <c r="F257" t="inlineStr">
        <is>
          <t>SKÅNE LÄN</t>
        </is>
      </c>
      <c r="G257" t="inlineStr">
        <is>
          <t>KLIPPAN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45579</v>
      </c>
      <c r="E258" s="1" t="n">
        <v>46225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46225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46225</v>
      </c>
      <c r="F260" t="inlineStr">
        <is>
          <t>SKÅNE LÄN</t>
        </is>
      </c>
      <c r="G260" t="inlineStr">
        <is>
          <t>KLIPPAN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46225</v>
      </c>
      <c r="F261" t="inlineStr">
        <is>
          <t>SKÅNE LÄN</t>
        </is>
      </c>
      <c r="G261" t="inlineStr">
        <is>
          <t>KLIPPAN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61682-2023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46225</v>
      </c>
      <c r="F262" t="inlineStr">
        <is>
          <t>SKÅNE LÄN</t>
        </is>
      </c>
      <c r="G262" t="inlineStr">
        <is>
          <t>KLIPPAN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46225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46225</v>
      </c>
      <c r="F264" t="inlineStr">
        <is>
          <t>SKÅNE LÄN</t>
        </is>
      </c>
      <c r="G264" t="inlineStr">
        <is>
          <t>KLIPPAN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46225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46225</v>
      </c>
      <c r="F266" t="inlineStr">
        <is>
          <t>SKÅNE LÄN</t>
        </is>
      </c>
      <c r="G266" t="inlineStr">
        <is>
          <t>KLIPPAN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46225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46225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46225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46225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46225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46225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46225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46225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46225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46225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46225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46225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46225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4865-2022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44805</v>
      </c>
      <c r="E280" s="1" t="n">
        <v>46225</v>
      </c>
      <c r="F280" t="inlineStr">
        <is>
          <t>SKÅNE LÄN</t>
        </is>
      </c>
      <c r="G280" t="inlineStr">
        <is>
          <t>KLIPPAN</t>
        </is>
      </c>
      <c r="I280" t="n">
        <v>29.1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46225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46225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46225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46225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46225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46225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46225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46225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46225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46225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46225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46225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46225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2026-07-22T01:36:58Z</dcterms:created>
  <dcterms:modified xmlns:dcterms="http://purl.org/dc/terms/" xmlns:xsi="http://www.w3.org/2001/XMLSchema-instance" xsi:type="dcterms:W3CDTF">2026-07-22T01:36:59Z</dcterms:modified>
</cp:coreProperties>
</file>