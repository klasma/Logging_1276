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46302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46302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46302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46302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46302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46302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46302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46302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46302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46302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46302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46302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46302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46302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46302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46302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46302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46302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46302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46302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46302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46302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46302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46302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20702-2023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45058</v>
      </c>
      <c r="E28" s="1" t="n">
        <v>46302</v>
      </c>
      <c r="F28" t="inlineStr">
        <is>
          <t>SKÅNE LÄN</t>
        </is>
      </c>
      <c r="G28" t="inlineStr">
        <is>
          <t>KLIPPAN</t>
        </is>
      </c>
      <c r="I28" t="n">
        <v>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Svinrot
Grönvit nattviol</t>
        </is>
      </c>
      <c r="W28">
        <f>HYPERLINK("https://klasma.github.io/Logging_1276/artfynd/A 20702-2023 artfynd.xlsx", "A 20702-2023")</f>
        <v/>
      </c>
      <c r="X28">
        <f>HYPERLINK("https://klasma.github.io/Logging_1276/kartor/A 20702-2023 karta.png", "A 20702-2023")</f>
        <v/>
      </c>
      <c r="Y28">
        <f>HYPERLINK("https://klasma.github.io/Logging_1276/kartor_geotiff/A 20702-2023 georefererad karta.tif", "A 20702-2023")</f>
        <v/>
      </c>
      <c r="AA28">
        <f>HYPERLINK("https://klasma.github.io/Logging_1276/klagomål/A 20702-2023 FSC-klagomål.docx", "A 20702-2023")</f>
        <v/>
      </c>
      <c r="AB28">
        <f>HYPERLINK("https://klasma.github.io/Logging_1276/klagomålsmail/A 20702-2023 FSC-klagomål mail.docx", "A 20702-2023")</f>
        <v/>
      </c>
      <c r="AC28">
        <f>HYPERLINK("https://klasma.github.io/Logging_1276/tillsyn/A 20702-2023 tillsynsbegäran.docx", "A 20702-2023")</f>
        <v/>
      </c>
      <c r="AD28">
        <f>HYPERLINK("https://klasma.github.io/Logging_1276/tillsynsmail/A 20702-2023 tillsynsbegäran mail.docx", "A 20702-2023")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46302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46302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46302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46302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46302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46302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6446-2026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46302</v>
      </c>
      <c r="F35" t="inlineStr">
        <is>
          <t>SKÅNE LÄN</t>
        </is>
      </c>
      <c r="G35" t="inlineStr">
        <is>
          <t>KLIPPAN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HYPERLINK("https://klasma.github.io/Logging_1276/artfynd/A 6446-2026 artfynd.xlsx", "A 6446-2026")</f>
        <v/>
      </c>
      <c r="X35">
        <f>HYPERLINK("https://klasma.github.io/Logging_1276/kartor/A 6446-2026 karta.png", "A 6446-2026")</f>
        <v/>
      </c>
      <c r="Y35">
        <f>HYPERLINK("https://klasma.github.io/Logging_1276/kartor_geotiff/A 6446-2026 georefererad karta.tif", "A 6446-2026")</f>
        <v/>
      </c>
      <c r="AA35">
        <f>HYPERLINK("https://klasma.github.io/Logging_1276/klagomål/A 6446-2026 FSC-klagomål.docx", "A 6446-2026")</f>
        <v/>
      </c>
      <c r="AB35">
        <f>HYPERLINK("https://klasma.github.io/Logging_1276/klagomålsmail/A 6446-2026 FSC-klagomål mail.docx", "A 6446-2026")</f>
        <v/>
      </c>
      <c r="AC35">
        <f>HYPERLINK("https://klasma.github.io/Logging_1276/tillsyn/A 6446-2026 tillsynsbegäran.docx", "A 6446-2026")</f>
        <v/>
      </c>
      <c r="AD35">
        <f>HYPERLINK("https://klasma.github.io/Logging_1276/tillsynsmail/A 6446-2026 tillsynsbegäran mail.docx", "A 6446-2026")</f>
        <v/>
      </c>
    </row>
    <row r="36" ht="15" customHeight="1">
      <c r="A36" t="inlineStr">
        <is>
          <t>A 14892-2023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46302</v>
      </c>
      <c r="F36" t="inlineStr">
        <is>
          <t>SKÅNE LÄN</t>
        </is>
      </c>
      <c r="G36" t="inlineStr">
        <is>
          <t>KLIPPAN</t>
        </is>
      </c>
      <c r="I36" t="n">
        <v>2.7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14892-2023 artfynd.xlsx", "A 14892-2023")</f>
        <v/>
      </c>
      <c r="X36">
        <f>HYPERLINK("https://klasma.github.io/Logging_1276/kartor/A 14892-2023 karta.png", "A 14892-2023")</f>
        <v/>
      </c>
      <c r="Y36">
        <f>HYPERLINK("https://klasma.github.io/Logging_1276/kartor_geotiff/A 14892-2023 georefererad karta.tif", "A 14892-2023")</f>
        <v/>
      </c>
      <c r="AA36">
        <f>HYPERLINK("https://klasma.github.io/Logging_1276/klagomål/A 14892-2023 FSC-klagomål.docx", "A 14892-2023")</f>
        <v/>
      </c>
      <c r="AB36">
        <f>HYPERLINK("https://klasma.github.io/Logging_1276/klagomålsmail/A 14892-2023 FSC-klagomål mail.docx", "A 14892-2023")</f>
        <v/>
      </c>
      <c r="AC36">
        <f>HYPERLINK("https://klasma.github.io/Logging_1276/tillsyn/A 14892-2023 tillsynsbegäran.docx", "A 14892-2023")</f>
        <v/>
      </c>
      <c r="AD36">
        <f>HYPERLINK("https://klasma.github.io/Logging_1276/tillsynsmail/A 14892-2023 tillsynsbegäran mail.docx", "A 14892-2023")</f>
        <v/>
      </c>
      <c r="AE36">
        <f>HYPERLINK("https://klasma.github.io/Logging_1276/fåglar/A 14892-2023 prioriterade fågelarter.docx", "A 14892-2023")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46302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46302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46302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46302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15810-2024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45404</v>
      </c>
      <c r="E41" s="1" t="n">
        <v>46302</v>
      </c>
      <c r="F41" t="inlineStr">
        <is>
          <t>SKÅNE LÄN</t>
        </is>
      </c>
      <c r="G41" t="inlineStr">
        <is>
          <t>KLIPPAN</t>
        </is>
      </c>
      <c r="H41" t="inlineStr">
        <is>
          <t>Sveaskog</t>
        </is>
      </c>
      <c r="I41" t="n">
        <v>3.7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HYPERLINK("https://klasma.github.io/Logging_1276/artfynd/A 15810-2024 artfynd.xlsx", "A 15810-2024")</f>
        <v/>
      </c>
      <c r="X41">
        <f>HYPERLINK("https://klasma.github.io/Logging_1276/kartor/A 15810-2024 karta.png", "A 15810-2024")</f>
        <v/>
      </c>
      <c r="Y41">
        <f>HYPERLINK("https://klasma.github.io/Logging_1276/kartor_geotiff/A 15810-2024 georefererad karta.tif", "A 15810-2024")</f>
        <v/>
      </c>
      <c r="AA41">
        <f>HYPERLINK("https://klasma.github.io/Logging_1276/klagomål/A 15810-2024 FSC-klagomål.docx", "A 15810-2024")</f>
        <v/>
      </c>
      <c r="AB41">
        <f>HYPERLINK("https://klasma.github.io/Logging_1276/klagomålsmail/A 15810-2024 FSC-klagomål mail.docx", "A 15810-2024")</f>
        <v/>
      </c>
      <c r="AC41">
        <f>HYPERLINK("https://klasma.github.io/Logging_1276/tillsyn/A 15810-2024 tillsynsbegäran.docx", "A 15810-2024")</f>
        <v/>
      </c>
      <c r="AD41">
        <f>HYPERLINK("https://klasma.github.io/Logging_1276/tillsynsmail/A 15810-2024 tillsynsbegäran mail.docx", "A 15810-2024")</f>
        <v/>
      </c>
    </row>
    <row r="42" ht="15" customHeight="1">
      <c r="A42" t="inlineStr">
        <is>
          <t>A 44885-2022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44841</v>
      </c>
      <c r="E42" s="1" t="n">
        <v>46302</v>
      </c>
      <c r="F42" t="inlineStr">
        <is>
          <t>SKÅNE LÄN</t>
        </is>
      </c>
      <c r="G42" t="inlineStr">
        <is>
          <t>KLIPPAN</t>
        </is>
      </c>
      <c r="I42" t="n">
        <v>1.7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HYPERLINK("https://klasma.github.io/Logging_1276/artfynd/A 44885-2022 artfynd.xlsx", "A 44885-2022")</f>
        <v/>
      </c>
      <c r="X42">
        <f>HYPERLINK("https://klasma.github.io/Logging_1276/kartor/A 44885-2022 karta.png", "A 44885-2022")</f>
        <v/>
      </c>
      <c r="Y42">
        <f>HYPERLINK("https://klasma.github.io/Logging_1276/kartor_geotiff/A 44885-2022 georefererad karta.tif", "A 44885-2022")</f>
        <v/>
      </c>
      <c r="AA42">
        <f>HYPERLINK("https://klasma.github.io/Logging_1276/klagomål/A 44885-2022 FSC-klagomål.docx", "A 44885-2022")</f>
        <v/>
      </c>
      <c r="AB42">
        <f>HYPERLINK("https://klasma.github.io/Logging_1276/klagomålsmail/A 44885-2022 FSC-klagomål mail.docx", "A 44885-2022")</f>
        <v/>
      </c>
      <c r="AC42">
        <f>HYPERLINK("https://klasma.github.io/Logging_1276/tillsyn/A 44885-2022 tillsynsbegäran.docx", "A 44885-2022")</f>
        <v/>
      </c>
      <c r="AD42">
        <f>HYPERLINK("https://klasma.github.io/Logging_1276/tillsynsmail/A 44885-2022 tillsynsbegäran mail.docx", "A 44885-2022")</f>
        <v/>
      </c>
    </row>
    <row r="43" ht="15" customHeight="1">
      <c r="A43" t="inlineStr">
        <is>
          <t>A 37224-2026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46274</v>
      </c>
      <c r="E43" s="1" t="n">
        <v>46302</v>
      </c>
      <c r="F43" t="inlineStr">
        <is>
          <t>SKÅNE LÄN</t>
        </is>
      </c>
      <c r="G43" t="inlineStr">
        <is>
          <t>KLIPPAN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Vanlig groda</t>
        </is>
      </c>
      <c r="W43">
        <f>HYPERLINK("https://klasma.github.io/Logging_1276/artfynd/A 37224-2026 artfynd.xlsx", "A 37224-2026")</f>
        <v/>
      </c>
      <c r="X43">
        <f>HYPERLINK("https://klasma.github.io/Logging_1276/kartor/A 37224-2026 karta.png", "A 37224-2026")</f>
        <v/>
      </c>
      <c r="Y43">
        <f>HYPERLINK("https://klasma.github.io/Logging_1276/kartor_geotiff/A 37224-2026 georefererad karta.tif", "A 37224-2026")</f>
        <v/>
      </c>
      <c r="AA43">
        <f>HYPERLINK("https://klasma.github.io/Logging_1276/klagomål/A 37224-2026 FSC-klagomål.docx", "A 37224-2026")</f>
        <v/>
      </c>
      <c r="AB43">
        <f>HYPERLINK("https://klasma.github.io/Logging_1276/klagomålsmail/A 37224-2026 FSC-klagomål mail.docx", "A 37224-2026")</f>
        <v/>
      </c>
      <c r="AC43">
        <f>HYPERLINK("https://klasma.github.io/Logging_1276/tillsyn/A 37224-2026 tillsynsbegäran.docx", "A 37224-2026")</f>
        <v/>
      </c>
      <c r="AD43">
        <f>HYPERLINK("https://klasma.github.io/Logging_1276/tillsynsmail/A 37224-2026 tillsynsbegäran mail.docx", "A 37224-2026")</f>
        <v/>
      </c>
    </row>
    <row r="44" ht="15" customHeight="1">
      <c r="A44" t="inlineStr">
        <is>
          <t>A 46147-2022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46302</v>
      </c>
      <c r="F44" t="inlineStr">
        <is>
          <t>SKÅNE LÄN</t>
        </is>
      </c>
      <c r="G44" t="inlineStr">
        <is>
          <t>KLIPPAN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Västlig hakmossa</t>
        </is>
      </c>
      <c r="W44">
        <f>HYPERLINK("https://klasma.github.io/Logging_1276/artfynd/A 46147-2022 artfynd.xlsx", "A 46147-2022")</f>
        <v/>
      </c>
      <c r="X44">
        <f>HYPERLINK("https://klasma.github.io/Logging_1276/kartor/A 46147-2022 karta.png", "A 46147-2022")</f>
        <v/>
      </c>
      <c r="Y44">
        <f>HYPERLINK("https://klasma.github.io/Logging_1276/kartor_geotiff/A 46147-2022 georefererad karta.tif", "A 46147-2022")</f>
        <v/>
      </c>
      <c r="AA44">
        <f>HYPERLINK("https://klasma.github.io/Logging_1276/klagomål/A 46147-2022 FSC-klagomål.docx", "A 46147-2022")</f>
        <v/>
      </c>
      <c r="AB44">
        <f>HYPERLINK("https://klasma.github.io/Logging_1276/klagomålsmail/A 46147-2022 FSC-klagomål mail.docx", "A 46147-2022")</f>
        <v/>
      </c>
      <c r="AC44">
        <f>HYPERLINK("https://klasma.github.io/Logging_1276/tillsyn/A 46147-2022 tillsynsbegäran.docx", "A 46147-2022")</f>
        <v/>
      </c>
      <c r="AD44">
        <f>HYPERLINK("https://klasma.github.io/Logging_1276/tillsynsmail/A 46147-2022 tillsynsbegäran mail.docx", "A 46147-2022")</f>
        <v/>
      </c>
    </row>
    <row r="45" ht="15" customHeight="1">
      <c r="A45" t="inlineStr">
        <is>
          <t>A 10000-2025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46302</v>
      </c>
      <c r="F45" t="inlineStr">
        <is>
          <t>SKÅNE LÄN</t>
        </is>
      </c>
      <c r="G45" t="inlineStr">
        <is>
          <t>KLIPPAN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10000-2025 artfynd.xlsx", "A 10000-2025")</f>
        <v/>
      </c>
      <c r="X45">
        <f>HYPERLINK("https://klasma.github.io/Logging_1276/kartor/A 10000-2025 karta.png", "A 10000-2025")</f>
        <v/>
      </c>
      <c r="Y45">
        <f>HYPERLINK("https://klasma.github.io/Logging_1276/kartor_geotiff/A 10000-2025 georefererad karta.tif", "A 10000-2025")</f>
        <v/>
      </c>
      <c r="AA45">
        <f>HYPERLINK("https://klasma.github.io/Logging_1276/klagomål/A 10000-2025 FSC-klagomål.docx", "A 10000-2025")</f>
        <v/>
      </c>
      <c r="AB45">
        <f>HYPERLINK("https://klasma.github.io/Logging_1276/klagomålsmail/A 10000-2025 FSC-klagomål mail.docx", "A 10000-2025")</f>
        <v/>
      </c>
      <c r="AC45">
        <f>HYPERLINK("https://klasma.github.io/Logging_1276/tillsyn/A 10000-2025 tillsynsbegäran.docx", "A 10000-2025")</f>
        <v/>
      </c>
      <c r="AD45">
        <f>HYPERLINK("https://klasma.github.io/Logging_1276/tillsynsmail/A 10000-2025 tillsynsbegäran mail.docx", "A 10000-2025")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46302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841-2023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44992</v>
      </c>
      <c r="E47" s="1" t="n">
        <v>46302</v>
      </c>
      <c r="F47" t="inlineStr">
        <is>
          <t>SKÅNE LÄN</t>
        </is>
      </c>
      <c r="G47" t="inlineStr">
        <is>
          <t>KLIPPAN</t>
        </is>
      </c>
      <c r="I47" t="n">
        <v>23.9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HYPERLINK("https://klasma.github.io/Logging_1276/artfynd/S 841-2023 artfynd.xlsx", "S 841-2023")</f>
        <v/>
      </c>
      <c r="X47">
        <f>HYPERLINK("https://klasma.github.io/Logging_1276/kartor/S 841-2023 karta.png", "S 841-2023")</f>
        <v/>
      </c>
      <c r="Y47">
        <f>HYPERLINK("https://klasma.github.io/Logging_1276/kartor_geotiff/S 841-2023 georefererad karta.tif", "S 841-2023")</f>
        <v/>
      </c>
      <c r="AA47">
        <f>HYPERLINK("https://klasma.github.io/Logging_1276/klagomål/S 841-2023 FSC-klagomål.docx", "S 841-2023")</f>
        <v/>
      </c>
      <c r="AB47">
        <f>HYPERLINK("https://klasma.github.io/Logging_1276/klagomålsmail/S 841-2023 FSC-klagomål mail.docx", "S 841-2023")</f>
        <v/>
      </c>
      <c r="AC47">
        <f>HYPERLINK("https://klasma.github.io/Logging_1276/tillsyn/S 841-2023 tillsynsbegäran.docx", "S 841-2023")</f>
        <v/>
      </c>
      <c r="AD47">
        <f>HYPERLINK("https://klasma.github.io/Logging_1276/tillsynsmail/S 841-2023 tillsynsbegäran mail.docx", "S 841-2023")</f>
        <v/>
      </c>
    </row>
    <row r="48" ht="15" customHeight="1">
      <c r="A48" t="inlineStr">
        <is>
          <t>S 3667-2023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45217</v>
      </c>
      <c r="E48" s="1" t="n">
        <v>46302</v>
      </c>
      <c r="F48" t="inlineStr">
        <is>
          <t>SKÅNE LÄN</t>
        </is>
      </c>
      <c r="G48" t="inlineStr">
        <is>
          <t>KLIPPAN</t>
        </is>
      </c>
      <c r="I48" t="n">
        <v>186.4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HYPERLINK("https://klasma.github.io/Logging_1276/artfynd/S 3667-2023 artfynd.xlsx", "S 3667-2023")</f>
        <v/>
      </c>
      <c r="X48">
        <f>HYPERLINK("https://klasma.github.io/Logging_1276/kartor/S 3667-2023 karta.png", "S 3667-2023")</f>
        <v/>
      </c>
      <c r="Y48">
        <f>HYPERLINK("https://klasma.github.io/Logging_1276/kartor_geotiff/S 3667-2023 georefererad karta.tif", "S 3667-2023")</f>
        <v/>
      </c>
      <c r="AA48">
        <f>HYPERLINK("https://klasma.github.io/Logging_1276/klagomål/S 3667-2023 FSC-klagomål.docx", "S 3667-2023")</f>
        <v/>
      </c>
      <c r="AB48">
        <f>HYPERLINK("https://klasma.github.io/Logging_1276/klagomålsmail/S 3667-2023 FSC-klagomål mail.docx", "S 3667-2023")</f>
        <v/>
      </c>
      <c r="AC48">
        <f>HYPERLINK("https://klasma.github.io/Logging_1276/tillsyn/S 3667-2023 tillsynsbegäran.docx", "S 3667-2023")</f>
        <v/>
      </c>
      <c r="AD48">
        <f>HYPERLINK("https://klasma.github.io/Logging_1276/tillsynsmail/S 3667-2023 tillsynsbegäran mail.docx", "S 3667-2023")</f>
        <v/>
      </c>
    </row>
    <row r="49" ht="15" customHeight="1">
      <c r="A49" t="inlineStr">
        <is>
          <t>S 5988-2022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44859</v>
      </c>
      <c r="E49" s="1" t="n">
        <v>46302</v>
      </c>
      <c r="F49" t="inlineStr">
        <is>
          <t>SKÅNE LÄN</t>
        </is>
      </c>
      <c r="G49" t="inlineStr">
        <is>
          <t>KLIPPAN</t>
        </is>
      </c>
      <c r="I49" t="n">
        <v>27.8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HYPERLINK("https://klasma.github.io/Logging_1276/artfynd/S 5988-2022 artfynd.xlsx", "S 5988-2022")</f>
        <v/>
      </c>
      <c r="X49">
        <f>HYPERLINK("https://klasma.github.io/Logging_1276/kartor/S 5988-2022 karta.png", "S 5988-2022")</f>
        <v/>
      </c>
      <c r="Y49">
        <f>HYPERLINK("https://klasma.github.io/Logging_1276/kartor_geotiff/S 5988-2022 georefererad karta.tif", "S 5988-2022")</f>
        <v/>
      </c>
      <c r="AA49">
        <f>HYPERLINK("https://klasma.github.io/Logging_1276/klagomål/S 5988-2022 FSC-klagomål.docx", "S 5988-2022")</f>
        <v/>
      </c>
      <c r="AB49">
        <f>HYPERLINK("https://klasma.github.io/Logging_1276/klagomålsmail/S 5988-2022 FSC-klagomål mail.docx", "S 5988-2022")</f>
        <v/>
      </c>
      <c r="AC49">
        <f>HYPERLINK("https://klasma.github.io/Logging_1276/tillsyn/S 5988-2022 tillsynsbegäran.docx", "S 5988-2022")</f>
        <v/>
      </c>
      <c r="AD49">
        <f>HYPERLINK("https://klasma.github.io/Logging_1276/tillsynsmail/S 5988-2022 tillsynsbegäran mail.docx", "S 5988-2022")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46302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46302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46302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46302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46302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46302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46302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46302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46302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46302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46302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46302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46302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46302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46302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46302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46302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46302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46302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46302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46302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46302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45660</v>
      </c>
      <c r="E72" s="1" t="n">
        <v>46302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46302</v>
      </c>
      <c r="F73" t="inlineStr">
        <is>
          <t>SKÅNE LÄN</t>
        </is>
      </c>
      <c r="G73" t="inlineStr">
        <is>
          <t>KLIPPAN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45079</v>
      </c>
      <c r="E74" s="1" t="n">
        <v>46302</v>
      </c>
      <c r="F74" t="inlineStr">
        <is>
          <t>SKÅNE LÄN</t>
        </is>
      </c>
      <c r="G74" t="inlineStr">
        <is>
          <t>KLIPPAN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45523</v>
      </c>
      <c r="E75" s="1" t="n">
        <v>46302</v>
      </c>
      <c r="F75" t="inlineStr">
        <is>
          <t>SKÅNE LÄN</t>
        </is>
      </c>
      <c r="G75" t="inlineStr">
        <is>
          <t>KLIPPAN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46302</v>
      </c>
      <c r="F76" t="inlineStr">
        <is>
          <t>SKÅNE LÄN</t>
        </is>
      </c>
      <c r="G76" t="inlineStr">
        <is>
          <t>KLIPPAN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45544</v>
      </c>
      <c r="E77" s="1" t="n">
        <v>46302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46302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46302</v>
      </c>
      <c r="F79" t="inlineStr">
        <is>
          <t>SKÅNE LÄN</t>
        </is>
      </c>
      <c r="G79" t="inlineStr">
        <is>
          <t>KLIPPAN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45519</v>
      </c>
      <c r="E80" s="1" t="n">
        <v>46302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45328</v>
      </c>
      <c r="E81" s="1" t="n">
        <v>46302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46302</v>
      </c>
      <c r="F82" t="inlineStr">
        <is>
          <t>SKÅNE LÄN</t>
        </is>
      </c>
      <c r="G82" t="inlineStr">
        <is>
          <t>KLIPPAN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45399</v>
      </c>
      <c r="E83" s="1" t="n">
        <v>46302</v>
      </c>
      <c r="F83" t="inlineStr">
        <is>
          <t>SKÅNE LÄN</t>
        </is>
      </c>
      <c r="G83" t="inlineStr">
        <is>
          <t>KLIPPAN</t>
        </is>
      </c>
      <c r="H83" t="inlineStr">
        <is>
          <t>Övriga Aktiebolag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46302</v>
      </c>
      <c r="F84" t="inlineStr">
        <is>
          <t>SKÅNE LÄN</t>
        </is>
      </c>
      <c r="G84" t="inlineStr">
        <is>
          <t>KLIPPAN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46302</v>
      </c>
      <c r="F85" t="inlineStr">
        <is>
          <t>SKÅNE LÄN</t>
        </is>
      </c>
      <c r="G85" t="inlineStr">
        <is>
          <t>KLIPPAN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46302</v>
      </c>
      <c r="F86" t="inlineStr">
        <is>
          <t>SKÅNE LÄN</t>
        </is>
      </c>
      <c r="G86" t="inlineStr">
        <is>
          <t>KLIPPAN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46027</v>
      </c>
      <c r="E87" s="1" t="n">
        <v>46302</v>
      </c>
      <c r="F87" t="inlineStr">
        <is>
          <t>SKÅNE LÄN</t>
        </is>
      </c>
      <c r="G87" t="inlineStr">
        <is>
          <t>KLIPPAN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45086</v>
      </c>
      <c r="E88" s="1" t="n">
        <v>46302</v>
      </c>
      <c r="F88" t="inlineStr">
        <is>
          <t>SKÅNE LÄN</t>
        </is>
      </c>
      <c r="G88" t="inlineStr">
        <is>
          <t>KLIPPAN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44228-2024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45573</v>
      </c>
      <c r="E89" s="1" t="n">
        <v>46302</v>
      </c>
      <c r="F89" t="inlineStr">
        <is>
          <t>SKÅNE LÄN</t>
        </is>
      </c>
      <c r="G89" t="inlineStr">
        <is>
          <t>KLIPPAN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46302</v>
      </c>
      <c r="F90" t="inlineStr">
        <is>
          <t>SKÅNE LÄN</t>
        </is>
      </c>
      <c r="G90" t="inlineStr">
        <is>
          <t>KLIPPAN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44531</v>
      </c>
      <c r="E91" s="1" t="n">
        <v>46302</v>
      </c>
      <c r="F91" t="inlineStr">
        <is>
          <t>SKÅNE LÄN</t>
        </is>
      </c>
      <c r="G91" t="inlineStr">
        <is>
          <t>KLIPPAN</t>
        </is>
      </c>
      <c r="H91" t="inlineStr">
        <is>
          <t>Övriga Aktiebolag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46302</v>
      </c>
      <c r="F92" t="inlineStr">
        <is>
          <t>SKÅNE LÄN</t>
        </is>
      </c>
      <c r="G92" t="inlineStr">
        <is>
          <t>KLIPPAN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45040</v>
      </c>
      <c r="E93" s="1" t="n">
        <v>46302</v>
      </c>
      <c r="F93" t="inlineStr">
        <is>
          <t>SKÅNE LÄN</t>
        </is>
      </c>
      <c r="G93" t="inlineStr">
        <is>
          <t>KLIPPAN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46302</v>
      </c>
      <c r="F94" t="inlineStr">
        <is>
          <t>SKÅNE LÄN</t>
        </is>
      </c>
      <c r="G94" t="inlineStr">
        <is>
          <t>KLIPPAN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44838</v>
      </c>
      <c r="E95" s="1" t="n">
        <v>46302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45260</v>
      </c>
      <c r="E96" s="1" t="n">
        <v>46302</v>
      </c>
      <c r="F96" t="inlineStr">
        <is>
          <t>SKÅNE LÄN</t>
        </is>
      </c>
      <c r="G96" t="inlineStr">
        <is>
          <t>KLIPPAN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27898-2025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46302</v>
      </c>
      <c r="F97" t="inlineStr">
        <is>
          <t>SKÅNE LÄN</t>
        </is>
      </c>
      <c r="G97" t="inlineStr">
        <is>
          <t>KLIPPAN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46302</v>
      </c>
      <c r="F98" t="inlineStr">
        <is>
          <t>SKÅNE LÄN</t>
        </is>
      </c>
      <c r="G98" t="inlineStr">
        <is>
          <t>KLIPPAN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45094</v>
      </c>
      <c r="E99" s="1" t="n">
        <v>46302</v>
      </c>
      <c r="F99" t="inlineStr">
        <is>
          <t>SKÅNE LÄN</t>
        </is>
      </c>
      <c r="G99" t="inlineStr">
        <is>
          <t>KLIPPAN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46302</v>
      </c>
      <c r="F100" t="inlineStr">
        <is>
          <t>SKÅNE LÄN</t>
        </is>
      </c>
      <c r="G100" t="inlineStr">
        <is>
          <t>KLIPPAN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46302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45077</v>
      </c>
      <c r="E102" s="1" t="n">
        <v>46302</v>
      </c>
      <c r="F102" t="inlineStr">
        <is>
          <t>SKÅNE LÄN</t>
        </is>
      </c>
      <c r="G102" t="inlineStr">
        <is>
          <t>KLIPPAN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46302</v>
      </c>
      <c r="F103" t="inlineStr">
        <is>
          <t>SKÅNE LÄN</t>
        </is>
      </c>
      <c r="G103" t="inlineStr">
        <is>
          <t>KLIPPAN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46302</v>
      </c>
      <c r="F104" t="inlineStr">
        <is>
          <t>SKÅNE LÄN</t>
        </is>
      </c>
      <c r="G104" t="inlineStr">
        <is>
          <t>KLIPPAN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46302</v>
      </c>
      <c r="F105" t="inlineStr">
        <is>
          <t>SKÅNE LÄN</t>
        </is>
      </c>
      <c r="G105" t="inlineStr">
        <is>
          <t>KLIPPAN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46302</v>
      </c>
      <c r="F106" t="inlineStr">
        <is>
          <t>SKÅNE LÄN</t>
        </is>
      </c>
      <c r="G106" t="inlineStr">
        <is>
          <t>KLIPPAN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46302</v>
      </c>
      <c r="F107" t="inlineStr">
        <is>
          <t>SKÅNE LÄN</t>
        </is>
      </c>
      <c r="G107" t="inlineStr">
        <is>
          <t>KLIPPAN</t>
        </is>
      </c>
      <c r="H107" t="inlineStr">
        <is>
          <t>Övriga Aktiebolag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46302</v>
      </c>
      <c r="F108" t="inlineStr">
        <is>
          <t>SKÅNE LÄN</t>
        </is>
      </c>
      <c r="G108" t="inlineStr">
        <is>
          <t>KLIPPAN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46302</v>
      </c>
      <c r="F109" t="inlineStr">
        <is>
          <t>SKÅNE LÄN</t>
        </is>
      </c>
      <c r="G109" t="inlineStr">
        <is>
          <t>KLIPPAN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46071</v>
      </c>
      <c r="E110" s="1" t="n">
        <v>46302</v>
      </c>
      <c r="F110" t="inlineStr">
        <is>
          <t>SKÅNE LÄN</t>
        </is>
      </c>
      <c r="G110" t="inlineStr">
        <is>
          <t>KLIPPAN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46302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45739</v>
      </c>
      <c r="E112" s="1" t="n">
        <v>46302</v>
      </c>
      <c r="F112" t="inlineStr">
        <is>
          <t>SKÅNE LÄN</t>
        </is>
      </c>
      <c r="G112" t="inlineStr">
        <is>
          <t>KLIPPAN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29284-2025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45824</v>
      </c>
      <c r="E113" s="1" t="n">
        <v>46302</v>
      </c>
      <c r="F113" t="inlineStr">
        <is>
          <t>SKÅNE LÄN</t>
        </is>
      </c>
      <c r="G113" t="inlineStr">
        <is>
          <t>KLIPPAN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46302</v>
      </c>
      <c r="F114" t="inlineStr">
        <is>
          <t>SKÅNE LÄN</t>
        </is>
      </c>
      <c r="G114" t="inlineStr">
        <is>
          <t>KLIPPAN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46302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46302</v>
      </c>
      <c r="F116" t="inlineStr">
        <is>
          <t>SKÅNE LÄN</t>
        </is>
      </c>
      <c r="G116" t="inlineStr">
        <is>
          <t>KLIPPAN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46302</v>
      </c>
      <c r="F117" t="inlineStr">
        <is>
          <t>SKÅNE LÄN</t>
        </is>
      </c>
      <c r="G117" t="inlineStr">
        <is>
          <t>KLIPPAN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46302</v>
      </c>
      <c r="F118" t="inlineStr">
        <is>
          <t>SKÅNE LÄN</t>
        </is>
      </c>
      <c r="G118" t="inlineStr">
        <is>
          <t>KLIPPAN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45055</v>
      </c>
      <c r="E119" s="1" t="n">
        <v>46302</v>
      </c>
      <c r="F119" t="inlineStr">
        <is>
          <t>SKÅNE LÄN</t>
        </is>
      </c>
      <c r="G119" t="inlineStr">
        <is>
          <t>KLIPPAN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46302</v>
      </c>
      <c r="F120" t="inlineStr">
        <is>
          <t>SKÅNE LÄN</t>
        </is>
      </c>
      <c r="G120" t="inlineStr">
        <is>
          <t>KLIPPAN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45894</v>
      </c>
      <c r="E121" s="1" t="n">
        <v>46302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45224</v>
      </c>
      <c r="E122" s="1" t="n">
        <v>46302</v>
      </c>
      <c r="F122" t="inlineStr">
        <is>
          <t>SKÅNE LÄN</t>
        </is>
      </c>
      <c r="G122" t="inlineStr">
        <is>
          <t>KLIPPAN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46302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46302</v>
      </c>
      <c r="F124" t="inlineStr">
        <is>
          <t>SKÅNE LÄN</t>
        </is>
      </c>
      <c r="G124" t="inlineStr">
        <is>
          <t>KLIPPAN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46302</v>
      </c>
      <c r="F125" t="inlineStr">
        <is>
          <t>SKÅNE LÄN</t>
        </is>
      </c>
      <c r="G125" t="inlineStr">
        <is>
          <t>KLIPPAN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44726</v>
      </c>
      <c r="E126" s="1" t="n">
        <v>46302</v>
      </c>
      <c r="F126" t="inlineStr">
        <is>
          <t>SKÅNE LÄN</t>
        </is>
      </c>
      <c r="G126" t="inlineStr">
        <is>
          <t>KLIPPAN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46302</v>
      </c>
      <c r="F127" t="inlineStr">
        <is>
          <t>SKÅNE LÄN</t>
        </is>
      </c>
      <c r="G127" t="inlineStr">
        <is>
          <t>KLIPPAN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56089-2021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44477</v>
      </c>
      <c r="E128" s="1" t="n">
        <v>46302</v>
      </c>
      <c r="F128" t="inlineStr">
        <is>
          <t>SKÅNE LÄN</t>
        </is>
      </c>
      <c r="G128" t="inlineStr">
        <is>
          <t>KLIPPAN</t>
        </is>
      </c>
      <c r="I128" t="n">
        <v>20.9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45972</v>
      </c>
      <c r="E129" s="1" t="n">
        <v>46302</v>
      </c>
      <c r="F129" t="inlineStr">
        <is>
          <t>SKÅNE LÄN</t>
        </is>
      </c>
      <c r="G129" t="inlineStr">
        <is>
          <t>KLIPPAN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54348-2022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46302</v>
      </c>
      <c r="F130" t="inlineStr">
        <is>
          <t>SKÅNE LÄN</t>
        </is>
      </c>
      <c r="G130" t="inlineStr">
        <is>
          <t>KLIPPAN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46302</v>
      </c>
      <c r="F131" t="inlineStr">
        <is>
          <t>SKÅNE LÄN</t>
        </is>
      </c>
      <c r="G131" t="inlineStr">
        <is>
          <t>KLIPPAN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46302</v>
      </c>
      <c r="F132" t="inlineStr">
        <is>
          <t>SKÅNE LÄN</t>
        </is>
      </c>
      <c r="G132" t="inlineStr">
        <is>
          <t>KLIPPAN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46302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46302</v>
      </c>
      <c r="F134" t="inlineStr">
        <is>
          <t>SKÅNE LÄN</t>
        </is>
      </c>
      <c r="G134" t="inlineStr">
        <is>
          <t>KLIPPAN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46302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20088-2026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46302</v>
      </c>
      <c r="F136" t="inlineStr">
        <is>
          <t>SKÅNE LÄN</t>
        </is>
      </c>
      <c r="G136" t="inlineStr">
        <is>
          <t>KLIPPAN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46302</v>
      </c>
      <c r="F137" t="inlineStr">
        <is>
          <t>SKÅNE LÄN</t>
        </is>
      </c>
      <c r="G137" t="inlineStr">
        <is>
          <t>KLIPPAN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55833-2023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45239</v>
      </c>
      <c r="E138" s="1" t="n">
        <v>46302</v>
      </c>
      <c r="F138" t="inlineStr">
        <is>
          <t>SKÅNE LÄN</t>
        </is>
      </c>
      <c r="G138" t="inlineStr">
        <is>
          <t>KLIPPAN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46302</v>
      </c>
      <c r="F139" t="inlineStr">
        <is>
          <t>SKÅNE LÄN</t>
        </is>
      </c>
      <c r="G139" t="inlineStr">
        <is>
          <t>KLIPPAN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46302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46302</v>
      </c>
      <c r="F141" t="inlineStr">
        <is>
          <t>SKÅNE LÄN</t>
        </is>
      </c>
      <c r="G141" t="inlineStr">
        <is>
          <t>KLIPPAN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46149</v>
      </c>
      <c r="E142" s="1" t="n">
        <v>46302</v>
      </c>
      <c r="F142" t="inlineStr">
        <is>
          <t>SKÅNE LÄN</t>
        </is>
      </c>
      <c r="G142" t="inlineStr">
        <is>
          <t>KLIPPAN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21609-2026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46302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46302</v>
      </c>
      <c r="F144" t="inlineStr">
        <is>
          <t>SKÅNE LÄN</t>
        </is>
      </c>
      <c r="G144" t="inlineStr">
        <is>
          <t>KLIPPAN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46302</v>
      </c>
      <c r="F145" t="inlineStr">
        <is>
          <t>SKÅNE LÄN</t>
        </is>
      </c>
      <c r="G145" t="inlineStr">
        <is>
          <t>KLIPPAN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21778-2026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46302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46302</v>
      </c>
      <c r="F147" t="inlineStr">
        <is>
          <t>SKÅNE LÄN</t>
        </is>
      </c>
      <c r="G147" t="inlineStr">
        <is>
          <t>KLIPPAN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45055</v>
      </c>
      <c r="E148" s="1" t="n">
        <v>46302</v>
      </c>
      <c r="F148" t="inlineStr">
        <is>
          <t>SKÅNE LÄN</t>
        </is>
      </c>
      <c r="G148" t="inlineStr">
        <is>
          <t>KLIPPAN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45673</v>
      </c>
      <c r="E149" s="1" t="n">
        <v>46302</v>
      </c>
      <c r="F149" t="inlineStr">
        <is>
          <t>SKÅNE LÄN</t>
        </is>
      </c>
      <c r="G149" t="inlineStr">
        <is>
          <t>KLIPPAN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25423-2026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46177</v>
      </c>
      <c r="E150" s="1" t="n">
        <v>46302</v>
      </c>
      <c r="F150" t="inlineStr">
        <is>
          <t>SKÅNE LÄN</t>
        </is>
      </c>
      <c r="G150" t="inlineStr">
        <is>
          <t>KLIPPAN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46302</v>
      </c>
      <c r="F151" t="inlineStr">
        <is>
          <t>SKÅNE LÄN</t>
        </is>
      </c>
      <c r="G151" t="inlineStr">
        <is>
          <t>KLIPPAN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46302</v>
      </c>
      <c r="F152" t="inlineStr">
        <is>
          <t>SKÅNE LÄN</t>
        </is>
      </c>
      <c r="G152" t="inlineStr">
        <is>
          <t>KLIPPAN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46302</v>
      </c>
      <c r="F153" t="inlineStr">
        <is>
          <t>SKÅNE LÄN</t>
        </is>
      </c>
      <c r="G153" t="inlineStr">
        <is>
          <t>KLIPPAN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45264</v>
      </c>
      <c r="E154" s="1" t="n">
        <v>46302</v>
      </c>
      <c r="F154" t="inlineStr">
        <is>
          <t>SKÅNE LÄN</t>
        </is>
      </c>
      <c r="G154" t="inlineStr">
        <is>
          <t>KLIPPAN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46302</v>
      </c>
      <c r="F155" t="inlineStr">
        <is>
          <t>SKÅNE LÄN</t>
        </is>
      </c>
      <c r="G155" t="inlineStr">
        <is>
          <t>KLIPPAN</t>
        </is>
      </c>
      <c r="H155" t="inlineStr">
        <is>
          <t>Övriga Aktiebolag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45223</v>
      </c>
      <c r="E156" s="1" t="n">
        <v>46302</v>
      </c>
      <c r="F156" t="inlineStr">
        <is>
          <t>SKÅNE LÄN</t>
        </is>
      </c>
      <c r="G156" t="inlineStr">
        <is>
          <t>KLIPPAN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46302</v>
      </c>
      <c r="F157" t="inlineStr">
        <is>
          <t>SKÅNE LÄN</t>
        </is>
      </c>
      <c r="G157" t="inlineStr">
        <is>
          <t>KLIPPAN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46302</v>
      </c>
      <c r="F158" t="inlineStr">
        <is>
          <t>SKÅNE LÄN</t>
        </is>
      </c>
      <c r="G158" t="inlineStr">
        <is>
          <t>KLIPPAN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44944</v>
      </c>
      <c r="E159" s="1" t="n">
        <v>46302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49370-2023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46302</v>
      </c>
      <c r="F160" t="inlineStr">
        <is>
          <t>SKÅNE LÄN</t>
        </is>
      </c>
      <c r="G160" t="inlineStr">
        <is>
          <t>KLIPPAN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46728-2023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45198</v>
      </c>
      <c r="E161" s="1" t="n">
        <v>46302</v>
      </c>
      <c r="F161" t="inlineStr">
        <is>
          <t>SKÅNE LÄN</t>
        </is>
      </c>
      <c r="G161" t="inlineStr">
        <is>
          <t>KLIPPAN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45320</v>
      </c>
      <c r="E162" s="1" t="n">
        <v>46302</v>
      </c>
      <c r="F162" t="inlineStr">
        <is>
          <t>SKÅNE LÄN</t>
        </is>
      </c>
      <c r="G162" t="inlineStr">
        <is>
          <t>KLIPPAN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46302</v>
      </c>
      <c r="F163" t="inlineStr">
        <is>
          <t>SKÅNE LÄN</t>
        </is>
      </c>
      <c r="G163" t="inlineStr">
        <is>
          <t>KLIPPAN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46302</v>
      </c>
      <c r="F164" t="inlineStr">
        <is>
          <t>SKÅNE LÄN</t>
        </is>
      </c>
      <c r="G164" t="inlineStr">
        <is>
          <t>KLIPPAN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46302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46302</v>
      </c>
      <c r="F166" t="inlineStr">
        <is>
          <t>SKÅNE LÄN</t>
        </is>
      </c>
      <c r="G166" t="inlineStr">
        <is>
          <t>KLIPPAN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46302</v>
      </c>
      <c r="F167" t="inlineStr">
        <is>
          <t>SKÅNE LÄN</t>
        </is>
      </c>
      <c r="G167" t="inlineStr">
        <is>
          <t>KLIPPAN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44944</v>
      </c>
      <c r="E168" s="1" t="n">
        <v>46302</v>
      </c>
      <c r="F168" t="inlineStr">
        <is>
          <t>SKÅNE LÄN</t>
        </is>
      </c>
      <c r="G168" t="inlineStr">
        <is>
          <t>KLIPPAN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46302</v>
      </c>
      <c r="F169" t="inlineStr">
        <is>
          <t>SKÅNE LÄN</t>
        </is>
      </c>
      <c r="G169" t="inlineStr">
        <is>
          <t>KLIPPAN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46302</v>
      </c>
      <c r="F170" t="inlineStr">
        <is>
          <t>SKÅNE LÄN</t>
        </is>
      </c>
      <c r="G170" t="inlineStr">
        <is>
          <t>KLIPPAN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46302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46302</v>
      </c>
      <c r="F172" t="inlineStr">
        <is>
          <t>SKÅNE LÄN</t>
        </is>
      </c>
      <c r="G172" t="inlineStr">
        <is>
          <t>KLIPPAN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46302</v>
      </c>
      <c r="F173" t="inlineStr">
        <is>
          <t>SKÅNE LÄN</t>
        </is>
      </c>
      <c r="G173" t="inlineStr">
        <is>
          <t>KLIPPAN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46302</v>
      </c>
      <c r="F174" t="inlineStr">
        <is>
          <t>SKÅNE LÄN</t>
        </is>
      </c>
      <c r="G174" t="inlineStr">
        <is>
          <t>KLIPPAN</t>
        </is>
      </c>
      <c r="H174" t="inlineStr">
        <is>
          <t>Övriga Aktiebolag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46302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46302</v>
      </c>
      <c r="F176" t="inlineStr">
        <is>
          <t>SKÅNE LÄN</t>
        </is>
      </c>
      <c r="G176" t="inlineStr">
        <is>
          <t>KLIPPAN</t>
        </is>
      </c>
      <c r="H176" t="inlineStr">
        <is>
          <t>Övriga Aktiebolag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46302</v>
      </c>
      <c r="F177" t="inlineStr">
        <is>
          <t>SKÅNE LÄN</t>
        </is>
      </c>
      <c r="G177" t="inlineStr">
        <is>
          <t>KLIPPAN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46209</v>
      </c>
      <c r="E178" s="1" t="n">
        <v>46302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46209</v>
      </c>
      <c r="E179" s="1" t="n">
        <v>46302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46302</v>
      </c>
      <c r="F180" t="inlineStr">
        <is>
          <t>SKÅNE LÄN</t>
        </is>
      </c>
      <c r="G180" t="inlineStr">
        <is>
          <t>KLIPPAN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46209</v>
      </c>
      <c r="E181" s="1" t="n">
        <v>46302</v>
      </c>
      <c r="F181" t="inlineStr">
        <is>
          <t>SKÅNE LÄN</t>
        </is>
      </c>
      <c r="G181" t="inlineStr">
        <is>
          <t>KLIPPAN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69041-2021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44529</v>
      </c>
      <c r="E182" s="1" t="n">
        <v>46302</v>
      </c>
      <c r="F182" t="inlineStr">
        <is>
          <t>SKÅNE LÄN</t>
        </is>
      </c>
      <c r="G182" t="inlineStr">
        <is>
          <t>KLIPPAN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46216</v>
      </c>
      <c r="E183" s="1" t="n">
        <v>46302</v>
      </c>
      <c r="F183" t="inlineStr">
        <is>
          <t>SKÅNE LÄN</t>
        </is>
      </c>
      <c r="G183" t="inlineStr">
        <is>
          <t>KLIPPAN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46302</v>
      </c>
      <c r="F184" t="inlineStr">
        <is>
          <t>SKÅNE LÄN</t>
        </is>
      </c>
      <c r="G184" t="inlineStr">
        <is>
          <t>KLIPPAN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46216</v>
      </c>
      <c r="E185" s="1" t="n">
        <v>46302</v>
      </c>
      <c r="F185" t="inlineStr">
        <is>
          <t>SKÅNE LÄN</t>
        </is>
      </c>
      <c r="G185" t="inlineStr">
        <is>
          <t>KLIPPAN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46216</v>
      </c>
      <c r="E186" s="1" t="n">
        <v>46302</v>
      </c>
      <c r="F186" t="inlineStr">
        <is>
          <t>SKÅNE LÄN</t>
        </is>
      </c>
      <c r="G186" t="inlineStr">
        <is>
          <t>KLIPPAN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46302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46302</v>
      </c>
      <c r="F188" t="inlineStr">
        <is>
          <t>SKÅNE LÄN</t>
        </is>
      </c>
      <c r="G188" t="inlineStr">
        <is>
          <t>KLIPPAN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35635-2026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46302</v>
      </c>
      <c r="F189" t="inlineStr">
        <is>
          <t>SKÅNE LÄN</t>
        </is>
      </c>
      <c r="G189" t="inlineStr">
        <is>
          <t>KLIPPAN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46302</v>
      </c>
      <c r="F190" t="inlineStr">
        <is>
          <t>SKÅNE LÄN</t>
        </is>
      </c>
      <c r="G190" t="inlineStr">
        <is>
          <t>KLIPPAN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14614-2023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45013</v>
      </c>
      <c r="E191" s="1" t="n">
        <v>46302</v>
      </c>
      <c r="F191" t="inlineStr">
        <is>
          <t>SKÅNE LÄN</t>
        </is>
      </c>
      <c r="G191" t="inlineStr">
        <is>
          <t>KLIPPAN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46269</v>
      </c>
      <c r="E192" s="1" t="n">
        <v>46302</v>
      </c>
      <c r="F192" t="inlineStr">
        <is>
          <t>SKÅNE LÄN</t>
        </is>
      </c>
      <c r="G192" t="inlineStr">
        <is>
          <t>KLIPPAN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46269</v>
      </c>
      <c r="E193" s="1" t="n">
        <v>46302</v>
      </c>
      <c r="F193" t="inlineStr">
        <is>
          <t>SKÅNE LÄN</t>
        </is>
      </c>
      <c r="G193" t="inlineStr">
        <is>
          <t>KLIPPAN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46302</v>
      </c>
      <c r="F194" t="inlineStr">
        <is>
          <t>SKÅNE LÄN</t>
        </is>
      </c>
      <c r="G194" t="inlineStr">
        <is>
          <t>KLIPPAN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46302</v>
      </c>
      <c r="F195" t="inlineStr">
        <is>
          <t>SKÅNE LÄN</t>
        </is>
      </c>
      <c r="G195" t="inlineStr">
        <is>
          <t>KLIPPAN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46302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46302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46302</v>
      </c>
      <c r="F198" t="inlineStr">
        <is>
          <t>SKÅNE LÄN</t>
        </is>
      </c>
      <c r="G198" t="inlineStr">
        <is>
          <t>KLIPPAN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46279</v>
      </c>
      <c r="E199" s="1" t="n">
        <v>46302</v>
      </c>
      <c r="F199" t="inlineStr">
        <is>
          <t>SKÅNE LÄN</t>
        </is>
      </c>
      <c r="G199" t="inlineStr">
        <is>
          <t>KLIPPAN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46136</v>
      </c>
      <c r="E200" s="1" t="n">
        <v>46302</v>
      </c>
      <c r="F200" t="inlineStr">
        <is>
          <t>SKÅNE LÄN</t>
        </is>
      </c>
      <c r="G200" t="inlineStr">
        <is>
          <t>KLIPPAN</t>
        </is>
      </c>
      <c r="H200" t="inlineStr">
        <is>
          <t>Sveaskog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45641-2022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44845</v>
      </c>
      <c r="E201" s="1" t="n">
        <v>46302</v>
      </c>
      <c r="F201" t="inlineStr">
        <is>
          <t>SKÅNE LÄN</t>
        </is>
      </c>
      <c r="G201" t="inlineStr">
        <is>
          <t>KLIPPAN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45442</v>
      </c>
      <c r="E202" s="1" t="n">
        <v>46302</v>
      </c>
      <c r="F202" t="inlineStr">
        <is>
          <t>SKÅNE LÄN</t>
        </is>
      </c>
      <c r="G202" t="inlineStr">
        <is>
          <t>KLIPPAN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46281</v>
      </c>
      <c r="E203" s="1" t="n">
        <v>46302</v>
      </c>
      <c r="F203" t="inlineStr">
        <is>
          <t>SKÅNE LÄN</t>
        </is>
      </c>
      <c r="G203" t="inlineStr">
        <is>
          <t>KLIPPAN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46210</v>
      </c>
      <c r="E204" s="1" t="n">
        <v>46302</v>
      </c>
      <c r="F204" t="inlineStr">
        <is>
          <t>SKÅNE LÄN</t>
        </is>
      </c>
      <c r="G204" t="inlineStr">
        <is>
          <t>KLIPPAN</t>
        </is>
      </c>
      <c r="H204" t="inlineStr">
        <is>
          <t>Övriga Aktiebolag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46286</v>
      </c>
      <c r="E205" s="1" t="n">
        <v>46302</v>
      </c>
      <c r="F205" t="inlineStr">
        <is>
          <t>SKÅNE LÄN</t>
        </is>
      </c>
      <c r="G205" t="inlineStr">
        <is>
          <t>KLIPPAN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46302</v>
      </c>
      <c r="F206" t="inlineStr">
        <is>
          <t>SKÅNE LÄN</t>
        </is>
      </c>
      <c r="G206" t="inlineStr">
        <is>
          <t>KLIPPAN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14619-2023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45013</v>
      </c>
      <c r="E207" s="1" t="n">
        <v>46302</v>
      </c>
      <c r="F207" t="inlineStr">
        <is>
          <t>SKÅNE LÄN</t>
        </is>
      </c>
      <c r="G207" t="inlineStr">
        <is>
          <t>KLIPPAN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46302</v>
      </c>
      <c r="F208" t="inlineStr">
        <is>
          <t>SKÅNE LÄN</t>
        </is>
      </c>
      <c r="G208" t="inlineStr">
        <is>
          <t>KLIPPAN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44993</v>
      </c>
      <c r="E209" s="1" t="n">
        <v>46302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45005</v>
      </c>
      <c r="E210" s="1" t="n">
        <v>46302</v>
      </c>
      <c r="F210" t="inlineStr">
        <is>
          <t>SKÅNE LÄN</t>
        </is>
      </c>
      <c r="G210" t="inlineStr">
        <is>
          <t>KLIPPAN</t>
        </is>
      </c>
      <c r="H210" t="inlineStr">
        <is>
          <t>Övriga Aktiebolag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46287</v>
      </c>
      <c r="E211" s="1" t="n">
        <v>46302</v>
      </c>
      <c r="F211" t="inlineStr">
        <is>
          <t>SKÅNE LÄN</t>
        </is>
      </c>
      <c r="G211" t="inlineStr">
        <is>
          <t>KLIPPAN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46302</v>
      </c>
      <c r="F212" t="inlineStr">
        <is>
          <t>SKÅNE LÄN</t>
        </is>
      </c>
      <c r="G212" t="inlineStr">
        <is>
          <t>KLIPPAN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46302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46223</v>
      </c>
      <c r="E214" s="1" t="n">
        <v>46302</v>
      </c>
      <c r="F214" t="inlineStr">
        <is>
          <t>SKÅNE LÄN</t>
        </is>
      </c>
      <c r="G214" t="inlineStr">
        <is>
          <t>KLIPPAN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33181-2026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46245</v>
      </c>
      <c r="E215" s="1" t="n">
        <v>46302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44855</v>
      </c>
      <c r="E216" s="1" t="n">
        <v>46302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45098</v>
      </c>
      <c r="E217" s="1" t="n">
        <v>46302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46302</v>
      </c>
      <c r="F218" t="inlineStr">
        <is>
          <t>SKÅNE LÄN</t>
        </is>
      </c>
      <c r="G218" t="inlineStr">
        <is>
          <t>KLIPPAN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46302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45579</v>
      </c>
      <c r="E220" s="1" t="n">
        <v>46302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46302</v>
      </c>
      <c r="F221" t="inlineStr">
        <is>
          <t>SKÅNE LÄN</t>
        </is>
      </c>
      <c r="G221" t="inlineStr">
        <is>
          <t>KLIPPAN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38325-2023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46302</v>
      </c>
      <c r="F222" t="inlineStr">
        <is>
          <t>SKÅNE LÄN</t>
        </is>
      </c>
      <c r="G222" t="inlineStr">
        <is>
          <t>KLIPPAN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46302</v>
      </c>
      <c r="F223" t="inlineStr">
        <is>
          <t>SKÅNE LÄN</t>
        </is>
      </c>
      <c r="G223" t="inlineStr">
        <is>
          <t>KLIPPAN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46251</v>
      </c>
      <c r="E224" s="1" t="n">
        <v>46302</v>
      </c>
      <c r="F224" t="inlineStr">
        <is>
          <t>SKÅNE LÄN</t>
        </is>
      </c>
      <c r="G224" t="inlineStr">
        <is>
          <t>KLIPPAN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46302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46302</v>
      </c>
      <c r="F226" t="inlineStr">
        <is>
          <t>SKÅNE LÄN</t>
        </is>
      </c>
      <c r="G226" t="inlineStr">
        <is>
          <t>KLIPPAN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40508-2026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46295</v>
      </c>
      <c r="E227" s="1" t="n">
        <v>46302</v>
      </c>
      <c r="F227" t="inlineStr">
        <is>
          <t>SKÅNE LÄN</t>
        </is>
      </c>
      <c r="G227" t="inlineStr">
        <is>
          <t>KLIPPAN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44875</v>
      </c>
      <c r="E228" s="1" t="n">
        <v>46302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44992</v>
      </c>
      <c r="E229" s="1" t="n">
        <v>46302</v>
      </c>
      <c r="F229" t="inlineStr">
        <is>
          <t>SKÅNE LÄN</t>
        </is>
      </c>
      <c r="G229" t="inlineStr">
        <is>
          <t>KLIPPAN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46302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44697</v>
      </c>
      <c r="E231" s="1" t="n">
        <v>46302</v>
      </c>
      <c r="F231" t="inlineStr">
        <is>
          <t>SKÅNE LÄN</t>
        </is>
      </c>
      <c r="G231" t="inlineStr">
        <is>
          <t>KLIPPAN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46210</v>
      </c>
      <c r="E232" s="1" t="n">
        <v>46302</v>
      </c>
      <c r="F232" t="inlineStr">
        <is>
          <t>SKÅNE LÄN</t>
        </is>
      </c>
      <c r="G232" t="inlineStr">
        <is>
          <t>KLIPPAN</t>
        </is>
      </c>
      <c r="H232" t="inlineStr">
        <is>
          <t>Övriga Aktiebolag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45588</v>
      </c>
      <c r="E233" s="1" t="n">
        <v>46302</v>
      </c>
      <c r="F233" t="inlineStr">
        <is>
          <t>SKÅNE LÄN</t>
        </is>
      </c>
      <c r="G233" t="inlineStr">
        <is>
          <t>KLIPPAN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46302</v>
      </c>
      <c r="F234" t="inlineStr">
        <is>
          <t>SKÅNE LÄN</t>
        </is>
      </c>
      <c r="G234" t="inlineStr">
        <is>
          <t>KLIPPAN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68856-2021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44530</v>
      </c>
      <c r="E235" s="1" t="n">
        <v>46302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46835-2023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45199</v>
      </c>
      <c r="E236" s="1" t="n">
        <v>46302</v>
      </c>
      <c r="F236" t="inlineStr">
        <is>
          <t>SKÅNE LÄN</t>
        </is>
      </c>
      <c r="G236" t="inlineStr">
        <is>
          <t>KLIPPAN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46253</v>
      </c>
      <c r="E237" s="1" t="n">
        <v>46302</v>
      </c>
      <c r="F237" t="inlineStr">
        <is>
          <t>SKÅNE LÄN</t>
        </is>
      </c>
      <c r="G237" t="inlineStr">
        <is>
          <t>KLIPPAN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46302</v>
      </c>
      <c r="F238" t="inlineStr">
        <is>
          <t>SKÅNE LÄN</t>
        </is>
      </c>
      <c r="G238" t="inlineStr">
        <is>
          <t>KLIPPAN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46302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9.300000000000001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39530-2023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46302</v>
      </c>
      <c r="F240" t="inlineStr">
        <is>
          <t>SKÅNE LÄN</t>
        </is>
      </c>
      <c r="G240" t="inlineStr">
        <is>
          <t>KLIPPAN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46302</v>
      </c>
      <c r="F241" t="inlineStr">
        <is>
          <t>SKÅNE LÄN</t>
        </is>
      </c>
      <c r="G241" t="inlineStr">
        <is>
          <t>KLIPPAN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24138-2026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46168</v>
      </c>
      <c r="E242" s="1" t="n">
        <v>46302</v>
      </c>
      <c r="F242" t="inlineStr">
        <is>
          <t>SKÅNE LÄN</t>
        </is>
      </c>
      <c r="G242" t="inlineStr">
        <is>
          <t>KLIPPAN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45072</v>
      </c>
      <c r="E243" s="1" t="n">
        <v>46302</v>
      </c>
      <c r="F243" t="inlineStr">
        <is>
          <t>SKÅNE LÄN</t>
        </is>
      </c>
      <c r="G243" t="inlineStr">
        <is>
          <t>KLIPPAN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46302</v>
      </c>
      <c r="F244" t="inlineStr">
        <is>
          <t>SKÅNE LÄN</t>
        </is>
      </c>
      <c r="G244" t="inlineStr">
        <is>
          <t>KLIPPAN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15812-2024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46302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46302</v>
      </c>
      <c r="F246" t="inlineStr">
        <is>
          <t>SKÅNE LÄN</t>
        </is>
      </c>
      <c r="G246" t="inlineStr">
        <is>
          <t>KLIPPAN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46302</v>
      </c>
      <c r="F247" t="inlineStr">
        <is>
          <t>SKÅNE LÄN</t>
        </is>
      </c>
      <c r="G247" t="inlineStr">
        <is>
          <t>KLIPPAN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46302</v>
      </c>
      <c r="F248" t="inlineStr">
        <is>
          <t>SKÅNE LÄN</t>
        </is>
      </c>
      <c r="G248" t="inlineStr">
        <is>
          <t>KLIPPAN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45099</v>
      </c>
      <c r="E249" s="1" t="n">
        <v>46302</v>
      </c>
      <c r="F249" t="inlineStr">
        <is>
          <t>SKÅNE LÄN</t>
        </is>
      </c>
      <c r="G249" t="inlineStr">
        <is>
          <t>KLIPPAN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56759-2023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46302</v>
      </c>
      <c r="F250" t="inlineStr">
        <is>
          <t>SKÅNE LÄN</t>
        </is>
      </c>
      <c r="G250" t="inlineStr">
        <is>
          <t>KLIPPAN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45324</v>
      </c>
      <c r="E251" s="1" t="n">
        <v>46302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46302</v>
      </c>
      <c r="F252" t="inlineStr">
        <is>
          <t>SKÅNE LÄN</t>
        </is>
      </c>
      <c r="G252" t="inlineStr">
        <is>
          <t>KLIPPAN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46302</v>
      </c>
      <c r="F253" t="inlineStr">
        <is>
          <t>SKÅNE LÄN</t>
        </is>
      </c>
      <c r="G253" t="inlineStr">
        <is>
          <t>KLIPPAN</t>
        </is>
      </c>
      <c r="I253" t="n">
        <v>17.2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46302</v>
      </c>
      <c r="F254" t="inlineStr">
        <is>
          <t>SKÅNE LÄN</t>
        </is>
      </c>
      <c r="G254" t="inlineStr">
        <is>
          <t>KLIPPAN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46302</v>
      </c>
      <c r="F255" t="inlineStr">
        <is>
          <t>SKÅNE LÄN</t>
        </is>
      </c>
      <c r="G255" t="inlineStr">
        <is>
          <t>KLIPPAN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45393</v>
      </c>
      <c r="E256" s="1" t="n">
        <v>46302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44855</v>
      </c>
      <c r="E257" s="1" t="n">
        <v>46302</v>
      </c>
      <c r="F257" t="inlineStr">
        <is>
          <t>SKÅNE LÄN</t>
        </is>
      </c>
      <c r="G257" t="inlineStr">
        <is>
          <t>KLIPPAN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45341</v>
      </c>
      <c r="E258" s="1" t="n">
        <v>46302</v>
      </c>
      <c r="F258" t="inlineStr">
        <is>
          <t>SKÅNE LÄN</t>
        </is>
      </c>
      <c r="G258" t="inlineStr">
        <is>
          <t>KLIPPAN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46302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11.6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45005</v>
      </c>
      <c r="E260" s="1" t="n">
        <v>46302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46302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46302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45320</v>
      </c>
      <c r="E263" s="1" t="n">
        <v>46302</v>
      </c>
      <c r="F263" t="inlineStr">
        <is>
          <t>SKÅNE LÄN</t>
        </is>
      </c>
      <c r="G263" t="inlineStr">
        <is>
          <t>KLIPPAN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46302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46302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44883</v>
      </c>
      <c r="E266" s="1" t="n">
        <v>46302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45537</v>
      </c>
      <c r="E267" s="1" t="n">
        <v>46302</v>
      </c>
      <c r="F267" t="inlineStr">
        <is>
          <t>SKÅNE LÄN</t>
        </is>
      </c>
      <c r="G267" t="inlineStr">
        <is>
          <t>KLIPPAN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46302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46302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46302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46302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46302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46302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46302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46302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704-2022</t>
        </is>
      </c>
      <c r="B276" t="inlineStr">
        <is>
          <t>samrådsanmälan</t>
        </is>
      </c>
      <c r="C276" t="inlineStr">
        <is>
          <t>Skogsbilväg</t>
        </is>
      </c>
      <c r="D276" s="1" t="n">
        <v>44599</v>
      </c>
      <c r="E276" s="1" t="n">
        <v>46302</v>
      </c>
      <c r="F276" t="inlineStr">
        <is>
          <t>SKÅNE LÄN</t>
        </is>
      </c>
      <c r="G276" t="inlineStr">
        <is>
          <t>KLIPPAN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2678-2022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46302</v>
      </c>
      <c r="F277" t="inlineStr">
        <is>
          <t>SKÅNE LÄN</t>
        </is>
      </c>
      <c r="G277" t="inlineStr">
        <is>
          <t>KLIPPAN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46302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46302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46302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2690-2022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46302</v>
      </c>
      <c r="F281" t="inlineStr">
        <is>
          <t>SKÅNE LÄN</t>
        </is>
      </c>
      <c r="G281" t="inlineStr">
        <is>
          <t>KLIPPAN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46302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46302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46302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46302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46302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46302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46302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46302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46302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46302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46302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46302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2026-10-07T02:04:57Z</dcterms:created>
  <dcterms:modified xmlns:dcterms="http://purl.org/dc/terms/" xmlns:xsi="http://www.w3.org/2001/XMLSchema-instance" xsi:type="dcterms:W3CDTF">2026-10-07T02:04:57Z</dcterms:modified>
</cp:coreProperties>
</file>