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46134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46134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46134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46134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46134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46134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46134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46134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46134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46134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46134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46134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46134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11673-2022</t>
        </is>
      </c>
      <c r="B17" s="1" t="n">
        <v>44633</v>
      </c>
      <c r="C17" s="1" t="n">
        <v>46134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Vanlig groda</t>
        </is>
      </c>
      <c r="S17">
        <f>HYPERLINK("https://klasma.github.io/Logging_1276/artfynd/A 11673-2022 artfynd.xlsx", "A 11673-2022")</f>
        <v/>
      </c>
      <c r="T17">
        <f>HYPERLINK("https://klasma.github.io/Logging_1276/kartor/A 11673-2022 karta.png", "A 11673-2022")</f>
        <v/>
      </c>
      <c r="V17">
        <f>HYPERLINK("https://klasma.github.io/Logging_1276/klagomål/A 11673-2022 FSC-klagomål.docx", "A 11673-2022")</f>
        <v/>
      </c>
      <c r="W17">
        <f>HYPERLINK("https://klasma.github.io/Logging_1276/klagomålsmail/A 11673-2022 FSC-klagomål mail.docx", "A 11673-2022")</f>
        <v/>
      </c>
      <c r="X17">
        <f>HYPERLINK("https://klasma.github.io/Logging_1276/tillsyn/A 11673-2022 tillsynsbegäran.docx", "A 11673-2022")</f>
        <v/>
      </c>
      <c r="Y17">
        <f>HYPERLINK("https://klasma.github.io/Logging_1276/tillsynsmail/A 11673-2022 tillsynsbegäran mail.docx", "A 11673-2022")</f>
        <v/>
      </c>
      <c r="Z17">
        <f>HYPERLINK("https://klasma.github.io/Logging_1276/fåglar/A 11673-2022 prioriterade fågelarter.docx", "A 11673-2022")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46134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46134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5797-2024</t>
        </is>
      </c>
      <c r="B20" s="1" t="n">
        <v>45335</v>
      </c>
      <c r="C20" s="1" t="n">
        <v>46134</v>
      </c>
      <c r="D20" t="inlineStr">
        <is>
          <t>SKÅNE LÄN</t>
        </is>
      </c>
      <c r="E20" t="inlineStr">
        <is>
          <t>KLIPPAN</t>
        </is>
      </c>
      <c r="G20" t="n">
        <v>1.8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Gröngöling</t>
        </is>
      </c>
      <c r="S20">
        <f>HYPERLINK("https://klasma.github.io/Logging_1276/artfynd/A 5797-2024 artfynd.xlsx", "A 5797-2024")</f>
        <v/>
      </c>
      <c r="T20">
        <f>HYPERLINK("https://klasma.github.io/Logging_1276/kartor/A 5797-2024 karta.png", "A 5797-2024")</f>
        <v/>
      </c>
      <c r="V20">
        <f>HYPERLINK("https://klasma.github.io/Logging_1276/klagomål/A 5797-2024 FSC-klagomål.docx", "A 5797-2024")</f>
        <v/>
      </c>
      <c r="W20">
        <f>HYPERLINK("https://klasma.github.io/Logging_1276/klagomålsmail/A 5797-2024 FSC-klagomål mail.docx", "A 5797-2024")</f>
        <v/>
      </c>
      <c r="X20">
        <f>HYPERLINK("https://klasma.github.io/Logging_1276/tillsyn/A 5797-2024 tillsynsbegäran.docx", "A 5797-2024")</f>
        <v/>
      </c>
      <c r="Y20">
        <f>HYPERLINK("https://klasma.github.io/Logging_1276/tillsynsmail/A 5797-2024 tillsynsbegäran mail.docx", "A 5797-2024")</f>
        <v/>
      </c>
      <c r="Z20">
        <f>HYPERLINK("https://klasma.github.io/Logging_1276/fåglar/A 5797-2024 prioriterade fågelarter.docx", "A 5797-2024")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46134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46134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46134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46134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46134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61058-2025</t>
        </is>
      </c>
      <c r="B26" s="1" t="n">
        <v>46000</v>
      </c>
      <c r="C26" s="1" t="n">
        <v>46134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HYPERLINK("https://klasma.github.io/Logging_1276/artfynd/A 61058-2025 artfynd.xlsx", "A 61058-2025")</f>
        <v/>
      </c>
      <c r="T26">
        <f>HYPERLINK("https://klasma.github.io/Logging_1276/kartor/A 61058-2025 karta.png", "A 61058-2025")</f>
        <v/>
      </c>
      <c r="V26">
        <f>HYPERLINK("https://klasma.github.io/Logging_1276/klagomål/A 61058-2025 FSC-klagomål.docx", "A 61058-2025")</f>
        <v/>
      </c>
      <c r="W26">
        <f>HYPERLINK("https://klasma.github.io/Logging_1276/klagomålsmail/A 61058-2025 FSC-klagomål mail.docx", "A 61058-2025")</f>
        <v/>
      </c>
      <c r="X26">
        <f>HYPERLINK("https://klasma.github.io/Logging_1276/tillsyn/A 61058-2025 tillsynsbegäran.docx", "A 61058-2025")</f>
        <v/>
      </c>
      <c r="Y26">
        <f>HYPERLINK("https://klasma.github.io/Logging_1276/tillsynsmail/A 61058-2025 tillsynsbegäran mail.docx", "A 61058-2025")</f>
        <v/>
      </c>
      <c r="Z26">
        <f>HYPERLINK("https://klasma.github.io/Logging_1276/fåglar/A 61058-2025 prioriterade fågelarter.docx", "A 61058-2025")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46134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46134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46134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46134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46134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46134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46134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46134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46134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46134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46134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46134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46134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46134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46134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46134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46134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46134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46134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46134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46134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46134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46134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46134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46134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46134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46134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46134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46134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46134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30738-2021</t>
        </is>
      </c>
      <c r="B67" s="1" t="n">
        <v>44365.45446759259</v>
      </c>
      <c r="C67" s="1" t="n">
        <v>46134</v>
      </c>
      <c r="D67" t="inlineStr">
        <is>
          <t>SKÅNE LÄN</t>
        </is>
      </c>
      <c r="E67" t="inlineStr">
        <is>
          <t>KLIPPAN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46134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46134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46134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3489-2024</t>
        </is>
      </c>
      <c r="B71" s="1" t="n">
        <v>45320</v>
      </c>
      <c r="C71" s="1" t="n">
        <v>46134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21654-2024</t>
        </is>
      </c>
      <c r="B72" s="1" t="n">
        <v>45442</v>
      </c>
      <c r="C72" s="1" t="n">
        <v>46134</v>
      </c>
      <c r="D72" t="inlineStr">
        <is>
          <t>SKÅNE LÄN</t>
        </is>
      </c>
      <c r="E72" t="inlineStr">
        <is>
          <t>KLIPPAN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44891-2022</t>
        </is>
      </c>
      <c r="B73" s="1" t="n">
        <v>44841</v>
      </c>
      <c r="C73" s="1" t="n">
        <v>46134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54348-2022</t>
        </is>
      </c>
      <c r="B74" s="1" t="n">
        <v>44882</v>
      </c>
      <c r="C74" s="1" t="n">
        <v>46134</v>
      </c>
      <c r="D74" t="inlineStr">
        <is>
          <t>SKÅNE LÄN</t>
        </is>
      </c>
      <c r="E74" t="inlineStr">
        <is>
          <t>KLIPPAN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45641-2022</t>
        </is>
      </c>
      <c r="B75" s="1" t="n">
        <v>44845</v>
      </c>
      <c r="C75" s="1" t="n">
        <v>46134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24217-2025</t>
        </is>
      </c>
      <c r="B76" s="1" t="n">
        <v>45797.35565972222</v>
      </c>
      <c r="C76" s="1" t="n">
        <v>46134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50781-2025</t>
        </is>
      </c>
      <c r="B77" s="1" t="n">
        <v>45946</v>
      </c>
      <c r="C77" s="1" t="n">
        <v>46134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46134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44228-2024</t>
        </is>
      </c>
      <c r="B79" s="1" t="n">
        <v>45573</v>
      </c>
      <c r="C79" s="1" t="n">
        <v>46134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317-2026</t>
        </is>
      </c>
      <c r="B80" s="1" t="n">
        <v>46027.56958333333</v>
      </c>
      <c r="C80" s="1" t="n">
        <v>46134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46134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24815-2025</t>
        </is>
      </c>
      <c r="B82" s="1" t="n">
        <v>45799.44935185185</v>
      </c>
      <c r="C82" s="1" t="n">
        <v>46134</v>
      </c>
      <c r="D82" t="inlineStr">
        <is>
          <t>SKÅNE LÄN</t>
        </is>
      </c>
      <c r="E82" t="inlineStr">
        <is>
          <t>KLIPPAN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55586-2021</t>
        </is>
      </c>
      <c r="B83" s="1" t="n">
        <v>44475.88427083333</v>
      </c>
      <c r="C83" s="1" t="n">
        <v>46134</v>
      </c>
      <c r="D83" t="inlineStr">
        <is>
          <t>SKÅNE LÄN</t>
        </is>
      </c>
      <c r="E83" t="inlineStr">
        <is>
          <t>KLIPPAN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46134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46134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10695-2023</t>
        </is>
      </c>
      <c r="B86" s="1" t="n">
        <v>44988</v>
      </c>
      <c r="C86" s="1" t="n">
        <v>46134</v>
      </c>
      <c r="D86" t="inlineStr">
        <is>
          <t>SKÅNE LÄN</t>
        </is>
      </c>
      <c r="E86" t="inlineStr">
        <is>
          <t>KLIPPAN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46134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31893-2021</t>
        </is>
      </c>
      <c r="B88" s="1" t="n">
        <v>44370.45880787037</v>
      </c>
      <c r="C88" s="1" t="n">
        <v>46134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52882-2024</t>
        </is>
      </c>
      <c r="B89" s="1" t="n">
        <v>45610</v>
      </c>
      <c r="C89" s="1" t="n">
        <v>46134</v>
      </c>
      <c r="D89" t="inlineStr">
        <is>
          <t>SKÅNE LÄN</t>
        </is>
      </c>
      <c r="E89" t="inlineStr">
        <is>
          <t>KLIPPAN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13994-2025</t>
        </is>
      </c>
      <c r="B90" s="1" t="n">
        <v>45739.73532407408</v>
      </c>
      <c r="C90" s="1" t="n">
        <v>46134</v>
      </c>
      <c r="D90" t="inlineStr">
        <is>
          <t>SKÅNE LÄN</t>
        </is>
      </c>
      <c r="E90" t="inlineStr">
        <is>
          <t>KLIPPAN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33331-2024</t>
        </is>
      </c>
      <c r="B91" s="1" t="n">
        <v>45519</v>
      </c>
      <c r="C91" s="1" t="n">
        <v>46134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58387-2022</t>
        </is>
      </c>
      <c r="B92" s="1" t="n">
        <v>44901</v>
      </c>
      <c r="C92" s="1" t="n">
        <v>46134</v>
      </c>
      <c r="D92" t="inlineStr">
        <is>
          <t>SKÅNE LÄN</t>
        </is>
      </c>
      <c r="E92" t="inlineStr">
        <is>
          <t>KLIPPAN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46134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27898-2025</t>
        </is>
      </c>
      <c r="B94" s="1" t="n">
        <v>45817</v>
      </c>
      <c r="C94" s="1" t="n">
        <v>46134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46134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59482-2024</t>
        </is>
      </c>
      <c r="B96" s="1" t="n">
        <v>45638.52831018518</v>
      </c>
      <c r="C96" s="1" t="n">
        <v>46134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27010-2023</t>
        </is>
      </c>
      <c r="B97" s="1" t="n">
        <v>45094.36791666667</v>
      </c>
      <c r="C97" s="1" t="n">
        <v>46134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217-2023</t>
        </is>
      </c>
      <c r="B98" s="1" t="n">
        <v>44928</v>
      </c>
      <c r="C98" s="1" t="n">
        <v>46134</v>
      </c>
      <c r="D98" t="inlineStr">
        <is>
          <t>SKÅNE LÄN</t>
        </is>
      </c>
      <c r="E98" t="inlineStr">
        <is>
          <t>KLIPPAN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42627-2025</t>
        </is>
      </c>
      <c r="B99" s="1" t="n">
        <v>45905.77766203704</v>
      </c>
      <c r="C99" s="1" t="n">
        <v>46134</v>
      </c>
      <c r="D99" t="inlineStr">
        <is>
          <t>SKÅNE LÄN</t>
        </is>
      </c>
      <c r="E99" t="inlineStr">
        <is>
          <t>KLIPPAN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46134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8017-2022</t>
        </is>
      </c>
      <c r="B101" s="1" t="n">
        <v>44609.39615740741</v>
      </c>
      <c r="C101" s="1" t="n">
        <v>46134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2413-2026</t>
        </is>
      </c>
      <c r="B102" s="1" t="n">
        <v>46036.73725694444</v>
      </c>
      <c r="C102" s="1" t="n">
        <v>46134</v>
      </c>
      <c r="D102" t="inlineStr">
        <is>
          <t>SKÅNE LÄN</t>
        </is>
      </c>
      <c r="E102" t="inlineStr">
        <is>
          <t>KLIPPAN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42275-2024</t>
        </is>
      </c>
      <c r="B103" s="1" t="n">
        <v>45562.60690972222</v>
      </c>
      <c r="C103" s="1" t="n">
        <v>46134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42303-2024</t>
        </is>
      </c>
      <c r="B104" s="1" t="n">
        <v>45562.6322337963</v>
      </c>
      <c r="C104" s="1" t="n">
        <v>46134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43698-2025</t>
        </is>
      </c>
      <c r="B105" s="1" t="n">
        <v>45912.39892361111</v>
      </c>
      <c r="C105" s="1" t="n">
        <v>46134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29284-2025</t>
        </is>
      </c>
      <c r="B106" s="1" t="n">
        <v>45824</v>
      </c>
      <c r="C106" s="1" t="n">
        <v>46134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34479-2025</t>
        </is>
      </c>
      <c r="B107" s="1" t="n">
        <v>45847.37570601852</v>
      </c>
      <c r="C107" s="1" t="n">
        <v>46134</v>
      </c>
      <c r="D107" t="inlineStr">
        <is>
          <t>SKÅNE LÄN</t>
        </is>
      </c>
      <c r="E107" t="inlineStr">
        <is>
          <t>KLIPPAN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15810-2024</t>
        </is>
      </c>
      <c r="B108" s="1" t="n">
        <v>45404</v>
      </c>
      <c r="C108" s="1" t="n">
        <v>46134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14614-2023</t>
        </is>
      </c>
      <c r="B109" s="1" t="n">
        <v>45013</v>
      </c>
      <c r="C109" s="1" t="n">
        <v>46134</v>
      </c>
      <c r="D109" t="inlineStr">
        <is>
          <t>SKÅNE LÄN</t>
        </is>
      </c>
      <c r="E109" t="inlineStr">
        <is>
          <t>KLIPPAN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32132-2025</t>
        </is>
      </c>
      <c r="B110" s="1" t="n">
        <v>45835.50878472222</v>
      </c>
      <c r="C110" s="1" t="n">
        <v>46134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20128-2023</t>
        </is>
      </c>
      <c r="B111" s="1" t="n">
        <v>45055</v>
      </c>
      <c r="C111" s="1" t="n">
        <v>46134</v>
      </c>
      <c r="D111" t="inlineStr">
        <is>
          <t>SKÅNE LÄN</t>
        </is>
      </c>
      <c r="E111" t="inlineStr">
        <is>
          <t>KLIPPAN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45574-2025</t>
        </is>
      </c>
      <c r="B112" s="1" t="n">
        <v>45922.65922453703</v>
      </c>
      <c r="C112" s="1" t="n">
        <v>46134</v>
      </c>
      <c r="D112" t="inlineStr">
        <is>
          <t>SKÅNE LÄN</t>
        </is>
      </c>
      <c r="E112" t="inlineStr">
        <is>
          <t>KLIPPAN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46134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62473-2023</t>
        </is>
      </c>
      <c r="B114" s="1" t="n">
        <v>45267</v>
      </c>
      <c r="C114" s="1" t="n">
        <v>46134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45096-2025</t>
        </is>
      </c>
      <c r="B115" s="1" t="n">
        <v>45919.38780092593</v>
      </c>
      <c r="C115" s="1" t="n">
        <v>46134</v>
      </c>
      <c r="D115" t="inlineStr">
        <is>
          <t>SKÅNE LÄN</t>
        </is>
      </c>
      <c r="E115" t="inlineStr">
        <is>
          <t>KLIPPAN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45717-2025</t>
        </is>
      </c>
      <c r="B116" s="1" t="n">
        <v>45923.44155092593</v>
      </c>
      <c r="C116" s="1" t="n">
        <v>46134</v>
      </c>
      <c r="D116" t="inlineStr">
        <is>
          <t>SKÅNE LÄN</t>
        </is>
      </c>
      <c r="E116" t="inlineStr">
        <is>
          <t>KLIPPAN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23978-2022</t>
        </is>
      </c>
      <c r="B117" s="1" t="n">
        <v>44722</v>
      </c>
      <c r="C117" s="1" t="n">
        <v>46134</v>
      </c>
      <c r="D117" t="inlineStr">
        <is>
          <t>SKÅNE LÄN</t>
        </is>
      </c>
      <c r="E117" t="inlineStr">
        <is>
          <t>KLIPPAN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45886-2025</t>
        </is>
      </c>
      <c r="B118" s="1" t="n">
        <v>45923.66560185186</v>
      </c>
      <c r="C118" s="1" t="n">
        <v>46134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46134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46138-2025</t>
        </is>
      </c>
      <c r="B120" s="1" t="n">
        <v>45924.59914351852</v>
      </c>
      <c r="C120" s="1" t="n">
        <v>46134</v>
      </c>
      <c r="D120" t="inlineStr">
        <is>
          <t>SKÅNE LÄN</t>
        </is>
      </c>
      <c r="E120" t="inlineStr">
        <is>
          <t>KLIPPAN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60783-2023</t>
        </is>
      </c>
      <c r="B121" s="1" t="n">
        <v>45260.6441087963</v>
      </c>
      <c r="C121" s="1" t="n">
        <v>46134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33761-2025</t>
        </is>
      </c>
      <c r="B122" s="1" t="n">
        <v>45842.38335648148</v>
      </c>
      <c r="C122" s="1" t="n">
        <v>46134</v>
      </c>
      <c r="D122" t="inlineStr">
        <is>
          <t>SKÅNE LÄN</t>
        </is>
      </c>
      <c r="E122" t="inlineStr">
        <is>
          <t>KLIPPAN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33450-2025</t>
        </is>
      </c>
      <c r="B123" s="1" t="n">
        <v>45841.46677083334</v>
      </c>
      <c r="C123" s="1" t="n">
        <v>46134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33456-2025</t>
        </is>
      </c>
      <c r="B124" s="1" t="n">
        <v>45841.47364583334</v>
      </c>
      <c r="C124" s="1" t="n">
        <v>46134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8500-2023</t>
        </is>
      </c>
      <c r="B125" s="1" t="n">
        <v>44977</v>
      </c>
      <c r="C125" s="1" t="n">
        <v>46134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60791-2023</t>
        </is>
      </c>
      <c r="B126" s="1" t="n">
        <v>45260.65283564815</v>
      </c>
      <c r="C126" s="1" t="n">
        <v>46134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34472-2025</t>
        </is>
      </c>
      <c r="B127" s="1" t="n">
        <v>45847.35877314815</v>
      </c>
      <c r="C127" s="1" t="n">
        <v>46134</v>
      </c>
      <c r="D127" t="inlineStr">
        <is>
          <t>SKÅNE LÄN</t>
        </is>
      </c>
      <c r="E127" t="inlineStr">
        <is>
          <t>KLIPPAN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52838-2024</t>
        </is>
      </c>
      <c r="B128" s="1" t="n">
        <v>45610</v>
      </c>
      <c r="C128" s="1" t="n">
        <v>46134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13420-2023</t>
        </is>
      </c>
      <c r="B129" s="1" t="n">
        <v>45005</v>
      </c>
      <c r="C129" s="1" t="n">
        <v>46134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22202-2023</t>
        </is>
      </c>
      <c r="B130" s="1" t="n">
        <v>45069</v>
      </c>
      <c r="C130" s="1" t="n">
        <v>46134</v>
      </c>
      <c r="D130" t="inlineStr">
        <is>
          <t>SKÅNE LÄN</t>
        </is>
      </c>
      <c r="E130" t="inlineStr">
        <is>
          <t>KLIPPAN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2806-2026</t>
        </is>
      </c>
      <c r="B131" s="1" t="n">
        <v>46038.41621527778</v>
      </c>
      <c r="C131" s="1" t="n">
        <v>46134</v>
      </c>
      <c r="D131" t="inlineStr">
        <is>
          <t>SKÅNE LÄN</t>
        </is>
      </c>
      <c r="E131" t="inlineStr">
        <is>
          <t>KLIPPAN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49073-2024</t>
        </is>
      </c>
      <c r="B132" s="1" t="n">
        <v>45594.61548611111</v>
      </c>
      <c r="C132" s="1" t="n">
        <v>46134</v>
      </c>
      <c r="D132" t="inlineStr">
        <is>
          <t>SKÅNE LÄN</t>
        </is>
      </c>
      <c r="E132" t="inlineStr">
        <is>
          <t>KLIPPAN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4968-2026</t>
        </is>
      </c>
      <c r="B133" s="1" t="n">
        <v>46049</v>
      </c>
      <c r="C133" s="1" t="n">
        <v>46134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46134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49394-2025</t>
        </is>
      </c>
      <c r="B135" s="1" t="n">
        <v>45938.65101851852</v>
      </c>
      <c r="C135" s="1" t="n">
        <v>46134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56759-2023</t>
        </is>
      </c>
      <c r="B136" s="1" t="n">
        <v>45238</v>
      </c>
      <c r="C136" s="1" t="n">
        <v>46134</v>
      </c>
      <c r="D136" t="inlineStr">
        <is>
          <t>SKÅNE LÄN</t>
        </is>
      </c>
      <c r="E136" t="inlineStr">
        <is>
          <t>KLIPPAN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27538-2021</t>
        </is>
      </c>
      <c r="B137" s="1" t="n">
        <v>44351.67984953704</v>
      </c>
      <c r="C137" s="1" t="n">
        <v>46134</v>
      </c>
      <c r="D137" t="inlineStr">
        <is>
          <t>SKÅNE LÄN</t>
        </is>
      </c>
      <c r="E137" t="inlineStr">
        <is>
          <t>KLIPPAN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22120-2025</t>
        </is>
      </c>
      <c r="B138" s="1" t="n">
        <v>45785.5165625</v>
      </c>
      <c r="C138" s="1" t="n">
        <v>46134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27454-2024</t>
        </is>
      </c>
      <c r="B139" s="1" t="n">
        <v>45474</v>
      </c>
      <c r="C139" s="1" t="n">
        <v>46134</v>
      </c>
      <c r="D139" t="inlineStr">
        <is>
          <t>SKÅNE LÄN</t>
        </is>
      </c>
      <c r="E139" t="inlineStr">
        <is>
          <t>KLIPPAN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50163-2025</t>
        </is>
      </c>
      <c r="B140" s="1" t="n">
        <v>45943.58734953704</v>
      </c>
      <c r="C140" s="1" t="n">
        <v>46134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28490-2023</t>
        </is>
      </c>
      <c r="B141" s="1" t="n">
        <v>45103.44039351852</v>
      </c>
      <c r="C141" s="1" t="n">
        <v>46134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50357-2021</t>
        </is>
      </c>
      <c r="B142" s="1" t="n">
        <v>44455</v>
      </c>
      <c r="C142" s="1" t="n">
        <v>46134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40092-2025</t>
        </is>
      </c>
      <c r="B143" s="1" t="n">
        <v>45894</v>
      </c>
      <c r="C143" s="1" t="n">
        <v>46134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46619-2024</t>
        </is>
      </c>
      <c r="B144" s="1" t="n">
        <v>45583.32314814815</v>
      </c>
      <c r="C144" s="1" t="n">
        <v>46134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40105-2025</t>
        </is>
      </c>
      <c r="B145" s="1" t="n">
        <v>45894</v>
      </c>
      <c r="C145" s="1" t="n">
        <v>46134</v>
      </c>
      <c r="D145" t="inlineStr">
        <is>
          <t>SKÅNE LÄN</t>
        </is>
      </c>
      <c r="E145" t="inlineStr">
        <is>
          <t>KLIPPAN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24813-2025</t>
        </is>
      </c>
      <c r="B146" s="1" t="n">
        <v>45799.44813657407</v>
      </c>
      <c r="C146" s="1" t="n">
        <v>46134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51396-2025</t>
        </is>
      </c>
      <c r="B147" s="1" t="n">
        <v>45950.47131944444</v>
      </c>
      <c r="C147" s="1" t="n">
        <v>46134</v>
      </c>
      <c r="D147" t="inlineStr">
        <is>
          <t>SKÅNE LÄN</t>
        </is>
      </c>
      <c r="E147" t="inlineStr">
        <is>
          <t>KLIPPAN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46134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51384-2025</t>
        </is>
      </c>
      <c r="B149" s="1" t="n">
        <v>45950.46399305556</v>
      </c>
      <c r="C149" s="1" t="n">
        <v>46134</v>
      </c>
      <c r="D149" t="inlineStr">
        <is>
          <t>SKÅNE LÄN</t>
        </is>
      </c>
      <c r="E149" t="inlineStr">
        <is>
          <t>KLIPPAN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13363-2023</t>
        </is>
      </c>
      <c r="B150" s="1" t="n">
        <v>45005</v>
      </c>
      <c r="C150" s="1" t="n">
        <v>46134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46134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14619-2023</t>
        </is>
      </c>
      <c r="B152" s="1" t="n">
        <v>45013</v>
      </c>
      <c r="C152" s="1" t="n">
        <v>46134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46134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5645-2026</t>
        </is>
      </c>
      <c r="B154" s="1" t="n">
        <v>46051.42502314815</v>
      </c>
      <c r="C154" s="1" t="n">
        <v>46134</v>
      </c>
      <c r="D154" t="inlineStr">
        <is>
          <t>SKÅNE LÄN</t>
        </is>
      </c>
      <c r="E154" t="inlineStr">
        <is>
          <t>KLIPPAN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6446-2026</t>
        </is>
      </c>
      <c r="B155" s="1" t="n">
        <v>46055.85770833334</v>
      </c>
      <c r="C155" s="1" t="n">
        <v>46134</v>
      </c>
      <c r="D155" t="inlineStr">
        <is>
          <t>SKÅNE LÄN</t>
        </is>
      </c>
      <c r="E155" t="inlineStr">
        <is>
          <t>KLIPPAN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46134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55696-2025</t>
        </is>
      </c>
      <c r="B157" s="1" t="n">
        <v>45972</v>
      </c>
      <c r="C157" s="1" t="n">
        <v>46134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33462-2025</t>
        </is>
      </c>
      <c r="B158" s="1" t="n">
        <v>45841</v>
      </c>
      <c r="C158" s="1" t="n">
        <v>46134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46134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23741-2023</t>
        </is>
      </c>
      <c r="B160" s="1" t="n">
        <v>45077.77087962963</v>
      </c>
      <c r="C160" s="1" t="n">
        <v>46134</v>
      </c>
      <c r="D160" t="inlineStr">
        <is>
          <t>SKÅNE LÄN</t>
        </is>
      </c>
      <c r="E160" t="inlineStr">
        <is>
          <t>KLIPPAN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25393-2023</t>
        </is>
      </c>
      <c r="B161" s="1" t="n">
        <v>45079</v>
      </c>
      <c r="C161" s="1" t="n">
        <v>46134</v>
      </c>
      <c r="D161" t="inlineStr">
        <is>
          <t>SKÅNE LÄN</t>
        </is>
      </c>
      <c r="E161" t="inlineStr">
        <is>
          <t>KLIPPAN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8712-2023</t>
        </is>
      </c>
      <c r="B162" s="1" t="n">
        <v>44978.3975462963</v>
      </c>
      <c r="C162" s="1" t="n">
        <v>46134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57687-2025</t>
        </is>
      </c>
      <c r="B163" s="1" t="n">
        <v>45981.44112268519</v>
      </c>
      <c r="C163" s="1" t="n">
        <v>46134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36842-2024</t>
        </is>
      </c>
      <c r="B164" s="1" t="n">
        <v>45538</v>
      </c>
      <c r="C164" s="1" t="n">
        <v>46134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593-2023</t>
        </is>
      </c>
      <c r="B165" s="1" t="n">
        <v>44930.55528935185</v>
      </c>
      <c r="C165" s="1" t="n">
        <v>46134</v>
      </c>
      <c r="D165" t="inlineStr">
        <is>
          <t>SKÅNE LÄN</t>
        </is>
      </c>
      <c r="E165" t="inlineStr">
        <is>
          <t>KLIPPAN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46147-2022</t>
        </is>
      </c>
      <c r="B166" s="1" t="n">
        <v>44846</v>
      </c>
      <c r="C166" s="1" t="n">
        <v>46134</v>
      </c>
      <c r="D166" t="inlineStr">
        <is>
          <t>SKÅNE LÄN</t>
        </is>
      </c>
      <c r="E166" t="inlineStr">
        <is>
          <t>KLIPPAN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20591-2023</t>
        </is>
      </c>
      <c r="B167" s="1" t="n">
        <v>45055</v>
      </c>
      <c r="C167" s="1" t="n">
        <v>46134</v>
      </c>
      <c r="D167" t="inlineStr">
        <is>
          <t>SKÅNE LÄN</t>
        </is>
      </c>
      <c r="E167" t="inlineStr">
        <is>
          <t>KLIPPAN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46134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46134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46134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59885-2025</t>
        </is>
      </c>
      <c r="B171" s="1" t="n">
        <v>45993.32192129629</v>
      </c>
      <c r="C171" s="1" t="n">
        <v>46134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2755-2023</t>
        </is>
      </c>
      <c r="B172" s="1" t="n">
        <v>44944</v>
      </c>
      <c r="C172" s="1" t="n">
        <v>46134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28847-2023</t>
        </is>
      </c>
      <c r="B173" s="1" t="n">
        <v>45104</v>
      </c>
      <c r="C173" s="1" t="n">
        <v>46134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42281-2024</t>
        </is>
      </c>
      <c r="B174" s="1" t="n">
        <v>45562.6105787037</v>
      </c>
      <c r="C174" s="1" t="n">
        <v>46134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42006-2025</t>
        </is>
      </c>
      <c r="B175" s="1" t="n">
        <v>45903</v>
      </c>
      <c r="C175" s="1" t="n">
        <v>46134</v>
      </c>
      <c r="D175" t="inlineStr">
        <is>
          <t>SKÅNE LÄN</t>
        </is>
      </c>
      <c r="E175" t="inlineStr">
        <is>
          <t>KLIPPAN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46134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46134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58642-2021</t>
        </is>
      </c>
      <c r="B178" s="1" t="n">
        <v>44489.36314814815</v>
      </c>
      <c r="C178" s="1" t="n">
        <v>46134</v>
      </c>
      <c r="D178" t="inlineStr">
        <is>
          <t>SKÅNE LÄN</t>
        </is>
      </c>
      <c r="E178" t="inlineStr">
        <is>
          <t>KLIPPAN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62849-2025</t>
        </is>
      </c>
      <c r="B179" s="1" t="n">
        <v>46008.69979166667</v>
      </c>
      <c r="C179" s="1" t="n">
        <v>46134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63720-2023</t>
        </is>
      </c>
      <c r="B180" s="1" t="n">
        <v>45275</v>
      </c>
      <c r="C180" s="1" t="n">
        <v>46134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11676-2023</t>
        </is>
      </c>
      <c r="B181" s="1" t="n">
        <v>44992</v>
      </c>
      <c r="C181" s="1" t="n">
        <v>46134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11705-2023</t>
        </is>
      </c>
      <c r="B182" s="1" t="n">
        <v>44992</v>
      </c>
      <c r="C182" s="1" t="n">
        <v>46134</v>
      </c>
      <c r="D182" t="inlineStr">
        <is>
          <t>SKÅNE LÄN</t>
        </is>
      </c>
      <c r="E182" t="inlineStr">
        <is>
          <t>KLIPPAN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30292-2021</t>
        </is>
      </c>
      <c r="B183" s="1" t="n">
        <v>44364.33482638889</v>
      </c>
      <c r="C183" s="1" t="n">
        <v>46134</v>
      </c>
      <c r="D183" t="inlineStr">
        <is>
          <t>SKÅNE LÄN</t>
        </is>
      </c>
      <c r="E183" t="inlineStr">
        <is>
          <t>KLIPPAN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5523-2022</t>
        </is>
      </c>
      <c r="B184" s="1" t="n">
        <v>44593</v>
      </c>
      <c r="C184" s="1" t="n">
        <v>46134</v>
      </c>
      <c r="D184" t="inlineStr">
        <is>
          <t>SKÅNE LÄN</t>
        </is>
      </c>
      <c r="E184" t="inlineStr">
        <is>
          <t>KLIPPAN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18214-2023</t>
        </is>
      </c>
      <c r="B185" s="1" t="n">
        <v>45040</v>
      </c>
      <c r="C185" s="1" t="n">
        <v>46134</v>
      </c>
      <c r="D185" t="inlineStr">
        <is>
          <t>SKÅNE LÄN</t>
        </is>
      </c>
      <c r="E185" t="inlineStr">
        <is>
          <t>KLIPPAN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3183-2023</t>
        </is>
      </c>
      <c r="B186" s="1" t="n">
        <v>44944</v>
      </c>
      <c r="C186" s="1" t="n">
        <v>46134</v>
      </c>
      <c r="D186" t="inlineStr">
        <is>
          <t>SKÅNE LÄN</t>
        </is>
      </c>
      <c r="E186" t="inlineStr">
        <is>
          <t>KLIPPAN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16477-2026</t>
        </is>
      </c>
      <c r="B187" s="1" t="n">
        <v>46112.38858796296</v>
      </c>
      <c r="C187" s="1" t="n">
        <v>46134</v>
      </c>
      <c r="D187" t="inlineStr">
        <is>
          <t>SKÅNE LÄN</t>
        </is>
      </c>
      <c r="E187" t="inlineStr">
        <is>
          <t>KLIPPAN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24647-2023</t>
        </is>
      </c>
      <c r="B188" s="1" t="n">
        <v>45084</v>
      </c>
      <c r="C188" s="1" t="n">
        <v>46134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7661-2025</t>
        </is>
      </c>
      <c r="B189" s="1" t="n">
        <v>45706</v>
      </c>
      <c r="C189" s="1" t="n">
        <v>46134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2252-2025</t>
        </is>
      </c>
      <c r="B190" s="1" t="n">
        <v>45673</v>
      </c>
      <c r="C190" s="1" t="n">
        <v>46134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16332-2026</t>
        </is>
      </c>
      <c r="B191" s="1" t="n">
        <v>46111.57107638889</v>
      </c>
      <c r="C191" s="1" t="n">
        <v>46134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15065-2024</t>
        </is>
      </c>
      <c r="B192" s="1" t="n">
        <v>45399.57625</v>
      </c>
      <c r="C192" s="1" t="n">
        <v>46134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9166-2026</t>
        </is>
      </c>
      <c r="B193" s="1" t="n">
        <v>46070.35927083333</v>
      </c>
      <c r="C193" s="1" t="n">
        <v>46134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53290-2025</t>
        </is>
      </c>
      <c r="B194" s="1" t="n">
        <v>45958</v>
      </c>
      <c r="C194" s="1" t="n">
        <v>46134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9488-2026</t>
        </is>
      </c>
      <c r="B195" s="1" t="n">
        <v>46071.55105324074</v>
      </c>
      <c r="C195" s="1" t="n">
        <v>46134</v>
      </c>
      <c r="D195" t="inlineStr">
        <is>
          <t>SKÅNE LÄN</t>
        </is>
      </c>
      <c r="E195" t="inlineStr">
        <is>
          <t>KLIPPAN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4324-2024</t>
        </is>
      </c>
      <c r="B196" s="1" t="n">
        <v>45324.67409722223</v>
      </c>
      <c r="C196" s="1" t="n">
        <v>46134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53289-2025</t>
        </is>
      </c>
      <c r="B197" s="1" t="n">
        <v>45958</v>
      </c>
      <c r="C197" s="1" t="n">
        <v>46134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41294-2022</t>
        </is>
      </c>
      <c r="B198" s="1" t="n">
        <v>44825</v>
      </c>
      <c r="C198" s="1" t="n">
        <v>46134</v>
      </c>
      <c r="D198" t="inlineStr">
        <is>
          <t>SKÅNE LÄN</t>
        </is>
      </c>
      <c r="E198" t="inlineStr">
        <is>
          <t>KLIPPAN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9497-2026</t>
        </is>
      </c>
      <c r="B199" s="1" t="n">
        <v>46071.56422453704</v>
      </c>
      <c r="C199" s="1" t="n">
        <v>46134</v>
      </c>
      <c r="D199" t="inlineStr">
        <is>
          <t>SKÅNE LÄN</t>
        </is>
      </c>
      <c r="E199" t="inlineStr">
        <is>
          <t>KLIPPAN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9270-2022</t>
        </is>
      </c>
      <c r="B200" s="1" t="n">
        <v>44616</v>
      </c>
      <c r="C200" s="1" t="n">
        <v>46134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6447-2026</t>
        </is>
      </c>
      <c r="B201" s="1" t="n">
        <v>46055</v>
      </c>
      <c r="C201" s="1" t="n">
        <v>46134</v>
      </c>
      <c r="D201" t="inlineStr">
        <is>
          <t>SKÅNE LÄN</t>
        </is>
      </c>
      <c r="E201" t="inlineStr">
        <is>
          <t>KLIPPAN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39097-2024</t>
        </is>
      </c>
      <c r="B202" s="1" t="n">
        <v>45548.56422453704</v>
      </c>
      <c r="C202" s="1" t="n">
        <v>46134</v>
      </c>
      <c r="D202" t="inlineStr">
        <is>
          <t>SKÅNE LÄN</t>
        </is>
      </c>
      <c r="E202" t="inlineStr">
        <is>
          <t>KLIPPAN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51844-2023</t>
        </is>
      </c>
      <c r="B203" s="1" t="n">
        <v>45223</v>
      </c>
      <c r="C203" s="1" t="n">
        <v>46134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10439-2026</t>
        </is>
      </c>
      <c r="B204" s="1" t="n">
        <v>46077.40722222222</v>
      </c>
      <c r="C204" s="1" t="n">
        <v>46134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46835-2023</t>
        </is>
      </c>
      <c r="B205" s="1" t="n">
        <v>45199</v>
      </c>
      <c r="C205" s="1" t="n">
        <v>46134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14774-2026</t>
        </is>
      </c>
      <c r="B206" s="1" t="n">
        <v>46101.64431712963</v>
      </c>
      <c r="C206" s="1" t="n">
        <v>46134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61060-2025</t>
        </is>
      </c>
      <c r="B207" s="1" t="n">
        <v>46000</v>
      </c>
      <c r="C207" s="1" t="n">
        <v>46134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28844-2023</t>
        </is>
      </c>
      <c r="B208" s="1" t="n">
        <v>45104</v>
      </c>
      <c r="C208" s="1" t="n">
        <v>46134</v>
      </c>
      <c r="D208" t="inlineStr">
        <is>
          <t>SKÅNE LÄN</t>
        </is>
      </c>
      <c r="E208" t="inlineStr">
        <is>
          <t>KLIPPAN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63499-2025</t>
        </is>
      </c>
      <c r="B209" s="1" t="n">
        <v>46013</v>
      </c>
      <c r="C209" s="1" t="n">
        <v>46134</v>
      </c>
      <c r="D209" t="inlineStr">
        <is>
          <t>SKÅNE LÄN</t>
        </is>
      </c>
      <c r="E209" t="inlineStr">
        <is>
          <t>KLIPPAN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39238-2022</t>
        </is>
      </c>
      <c r="B210" s="1" t="n">
        <v>44817</v>
      </c>
      <c r="C210" s="1" t="n">
        <v>46134</v>
      </c>
      <c r="D210" t="inlineStr">
        <is>
          <t>SKÅNE LÄN</t>
        </is>
      </c>
      <c r="E210" t="inlineStr">
        <is>
          <t>KLIPPAN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18613-2026</t>
        </is>
      </c>
      <c r="B211" s="1" t="n">
        <v>46127</v>
      </c>
      <c r="C211" s="1" t="n">
        <v>46134</v>
      </c>
      <c r="D211" t="inlineStr">
        <is>
          <t>SKÅNE LÄN</t>
        </is>
      </c>
      <c r="E211" t="inlineStr">
        <is>
          <t>KLIPPAN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5256-2022</t>
        </is>
      </c>
      <c r="B212" s="1" t="n">
        <v>44593</v>
      </c>
      <c r="C212" s="1" t="n">
        <v>46134</v>
      </c>
      <c r="D212" t="inlineStr">
        <is>
          <t>SKÅNE LÄN</t>
        </is>
      </c>
      <c r="E212" t="inlineStr">
        <is>
          <t>KLIPPAN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15442-2022</t>
        </is>
      </c>
      <c r="B213" s="1" t="n">
        <v>44659.85333333333</v>
      </c>
      <c r="C213" s="1" t="n">
        <v>46134</v>
      </c>
      <c r="D213" t="inlineStr">
        <is>
          <t>SKÅNE LÄN</t>
        </is>
      </c>
      <c r="E213" t="inlineStr">
        <is>
          <t>KLIPPAN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48965-2023</t>
        </is>
      </c>
      <c r="B214" s="1" t="n">
        <v>45209</v>
      </c>
      <c r="C214" s="1" t="n">
        <v>46134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20012-2022</t>
        </is>
      </c>
      <c r="B215" s="1" t="n">
        <v>44697</v>
      </c>
      <c r="C215" s="1" t="n">
        <v>46134</v>
      </c>
      <c r="D215" t="inlineStr">
        <is>
          <t>SKÅNE LÄN</t>
        </is>
      </c>
      <c r="E215" t="inlineStr">
        <is>
          <t>KLIPPAN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5151-2022</t>
        </is>
      </c>
      <c r="B216" s="1" t="n">
        <v>44593</v>
      </c>
      <c r="C216" s="1" t="n">
        <v>46134</v>
      </c>
      <c r="D216" t="inlineStr">
        <is>
          <t>SKÅNE LÄN</t>
        </is>
      </c>
      <c r="E216" t="inlineStr">
        <is>
          <t>KLIPPAN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243-2025</t>
        </is>
      </c>
      <c r="B217" s="1" t="n">
        <v>45660</v>
      </c>
      <c r="C217" s="1" t="n">
        <v>46134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40762-2021</t>
        </is>
      </c>
      <c r="B218" s="1" t="n">
        <v>44420</v>
      </c>
      <c r="C218" s="1" t="n">
        <v>46134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28709-2023</t>
        </is>
      </c>
      <c r="B219" s="1" t="n">
        <v>45103</v>
      </c>
      <c r="C219" s="1" t="n">
        <v>46134</v>
      </c>
      <c r="D219" t="inlineStr">
        <is>
          <t>SKÅNE LÄN</t>
        </is>
      </c>
      <c r="E219" t="inlineStr">
        <is>
          <t>KLIPPAN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21636-2024</t>
        </is>
      </c>
      <c r="B220" s="1" t="n">
        <v>45442</v>
      </c>
      <c r="C220" s="1" t="n">
        <v>46134</v>
      </c>
      <c r="D220" t="inlineStr">
        <is>
          <t>SKÅNE LÄN</t>
        </is>
      </c>
      <c r="E220" t="inlineStr">
        <is>
          <t>KLIPPAN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46728-2023</t>
        </is>
      </c>
      <c r="B221" s="1" t="n">
        <v>45198</v>
      </c>
      <c r="C221" s="1" t="n">
        <v>46134</v>
      </c>
      <c r="D221" t="inlineStr">
        <is>
          <t>SKÅNE LÄN</t>
        </is>
      </c>
      <c r="E221" t="inlineStr">
        <is>
          <t>KLIPPAN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23874-2022</t>
        </is>
      </c>
      <c r="B222" s="1" t="n">
        <v>44722</v>
      </c>
      <c r="C222" s="1" t="n">
        <v>46134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38724-2023</t>
        </is>
      </c>
      <c r="B223" s="1" t="n">
        <v>45163</v>
      </c>
      <c r="C223" s="1" t="n">
        <v>46134</v>
      </c>
      <c r="D223" t="inlineStr">
        <is>
          <t>SKÅNE LÄN</t>
        </is>
      </c>
      <c r="E223" t="inlineStr">
        <is>
          <t>KLIPPAN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24333-2022</t>
        </is>
      </c>
      <c r="B224" s="1" t="n">
        <v>44726.32643518518</v>
      </c>
      <c r="C224" s="1" t="n">
        <v>46134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40710-2023</t>
        </is>
      </c>
      <c r="B225" s="1" t="n">
        <v>45170.63194444445</v>
      </c>
      <c r="C225" s="1" t="n">
        <v>46134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37068-2023</t>
        </is>
      </c>
      <c r="B226" s="1" t="n">
        <v>45155</v>
      </c>
      <c r="C226" s="1" t="n">
        <v>46134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39530-2023</t>
        </is>
      </c>
      <c r="B227" s="1" t="n">
        <v>45167.34055555556</v>
      </c>
      <c r="C227" s="1" t="n">
        <v>46134</v>
      </c>
      <c r="D227" t="inlineStr">
        <is>
          <t>SKÅNE LÄN</t>
        </is>
      </c>
      <c r="E227" t="inlineStr">
        <is>
          <t>KLIPPAN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24034-2023</t>
        </is>
      </c>
      <c r="B228" s="1" t="n">
        <v>45078.86898148148</v>
      </c>
      <c r="C228" s="1" t="n">
        <v>46134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38945-2023</t>
        </is>
      </c>
      <c r="B229" s="1" t="n">
        <v>45163.60909722222</v>
      </c>
      <c r="C229" s="1" t="n">
        <v>46134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55291-2023</t>
        </is>
      </c>
      <c r="B230" s="1" t="n">
        <v>45237</v>
      </c>
      <c r="C230" s="1" t="n">
        <v>46134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5141-2024</t>
        </is>
      </c>
      <c r="B231" s="1" t="n">
        <v>45330</v>
      </c>
      <c r="C231" s="1" t="n">
        <v>46134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3498-2024</t>
        </is>
      </c>
      <c r="B232" s="1" t="n">
        <v>45320.47233796296</v>
      </c>
      <c r="C232" s="1" t="n">
        <v>46134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64224-2023</t>
        </is>
      </c>
      <c r="B233" s="1" t="n">
        <v>45279</v>
      </c>
      <c r="C233" s="1" t="n">
        <v>46134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27813-2023</t>
        </is>
      </c>
      <c r="B234" s="1" t="n">
        <v>45098</v>
      </c>
      <c r="C234" s="1" t="n">
        <v>46134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20002-2022</t>
        </is>
      </c>
      <c r="B235" s="1" t="n">
        <v>44697.62150462963</v>
      </c>
      <c r="C235" s="1" t="n">
        <v>46134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49686-2023</t>
        </is>
      </c>
      <c r="B236" s="1" t="n">
        <v>45212.36239583333</v>
      </c>
      <c r="C236" s="1" t="n">
        <v>46134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27452-2024</t>
        </is>
      </c>
      <c r="B237" s="1" t="n">
        <v>45474</v>
      </c>
      <c r="C237" s="1" t="n">
        <v>46134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53868-2022</t>
        </is>
      </c>
      <c r="B238" s="1" t="n">
        <v>44880.64693287037</v>
      </c>
      <c r="C238" s="1" t="n">
        <v>46134</v>
      </c>
      <c r="D238" t="inlineStr">
        <is>
          <t>SKÅNE LÄN</t>
        </is>
      </c>
      <c r="E238" t="inlineStr">
        <is>
          <t>KLIPPAN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68856-2021</t>
        </is>
      </c>
      <c r="B239" s="1" t="n">
        <v>44530</v>
      </c>
      <c r="C239" s="1" t="n">
        <v>46134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30725-2021</t>
        </is>
      </c>
      <c r="B240" s="1" t="n">
        <v>44365.44506944445</v>
      </c>
      <c r="C240" s="1" t="n">
        <v>46134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42284-2024</t>
        </is>
      </c>
      <c r="B241" s="1" t="n">
        <v>45562</v>
      </c>
      <c r="C241" s="1" t="n">
        <v>46134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5196-2022</t>
        </is>
      </c>
      <c r="B242" s="1" t="n">
        <v>44593</v>
      </c>
      <c r="C242" s="1" t="n">
        <v>46134</v>
      </c>
      <c r="D242" t="inlineStr">
        <is>
          <t>SKÅNE LÄN</t>
        </is>
      </c>
      <c r="E242" t="inlineStr">
        <is>
          <t>KLIPPAN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1280-2023</t>
        </is>
      </c>
      <c r="B243" s="1" t="n">
        <v>44936</v>
      </c>
      <c r="C243" s="1" t="n">
        <v>46134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39244-2022</t>
        </is>
      </c>
      <c r="B244" s="1" t="n">
        <v>44817.60482638889</v>
      </c>
      <c r="C244" s="1" t="n">
        <v>46134</v>
      </c>
      <c r="D244" t="inlineStr">
        <is>
          <t>SKÅNE LÄN</t>
        </is>
      </c>
      <c r="E244" t="inlineStr">
        <is>
          <t>KLIPPAN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11335-2023</t>
        </is>
      </c>
      <c r="B245" s="1" t="n">
        <v>44993</v>
      </c>
      <c r="C245" s="1" t="n">
        <v>46134</v>
      </c>
      <c r="D245" t="inlineStr">
        <is>
          <t>SKÅNE LÄN</t>
        </is>
      </c>
      <c r="E245" t="inlineStr">
        <is>
          <t>KLIPPAN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30852-2021</t>
        </is>
      </c>
      <c r="B246" s="1" t="n">
        <v>44365</v>
      </c>
      <c r="C246" s="1" t="n">
        <v>46134</v>
      </c>
      <c r="D246" t="inlineStr">
        <is>
          <t>SKÅNE LÄN</t>
        </is>
      </c>
      <c r="E246" t="inlineStr">
        <is>
          <t>KLIPPAN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38323-2023</t>
        </is>
      </c>
      <c r="B247" s="1" t="n">
        <v>45161</v>
      </c>
      <c r="C247" s="1" t="n">
        <v>46134</v>
      </c>
      <c r="D247" t="inlineStr">
        <is>
          <t>SKÅNE LÄN</t>
        </is>
      </c>
      <c r="E247" t="inlineStr">
        <is>
          <t>KLIPPAN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38325-2023</t>
        </is>
      </c>
      <c r="B248" s="1" t="n">
        <v>45161</v>
      </c>
      <c r="C248" s="1" t="n">
        <v>46134</v>
      </c>
      <c r="D248" t="inlineStr">
        <is>
          <t>SKÅNE LÄN</t>
        </is>
      </c>
      <c r="E248" t="inlineStr">
        <is>
          <t>KLIPPAN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5557-2022</t>
        </is>
      </c>
      <c r="B249" s="1" t="n">
        <v>44593</v>
      </c>
      <c r="C249" s="1" t="n">
        <v>46134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52877-2022</t>
        </is>
      </c>
      <c r="B250" s="1" t="n">
        <v>44875.53217592592</v>
      </c>
      <c r="C250" s="1" t="n">
        <v>46134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46253-2024</t>
        </is>
      </c>
      <c r="B251" s="1" t="n">
        <v>45581</v>
      </c>
      <c r="C251" s="1" t="n">
        <v>46134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2262-2025</t>
        </is>
      </c>
      <c r="B252" s="1" t="n">
        <v>45673</v>
      </c>
      <c r="C252" s="1" t="n">
        <v>46134</v>
      </c>
      <c r="D252" t="inlineStr">
        <is>
          <t>SKÅNE LÄN</t>
        </is>
      </c>
      <c r="E252" t="inlineStr">
        <is>
          <t>KLIPPAN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4623-2024</t>
        </is>
      </c>
      <c r="B253" s="1" t="n">
        <v>45328</v>
      </c>
      <c r="C253" s="1" t="n">
        <v>46134</v>
      </c>
      <c r="D253" t="inlineStr">
        <is>
          <t>SKÅNE LÄN</t>
        </is>
      </c>
      <c r="E253" t="inlineStr">
        <is>
          <t>KLIPPAN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3198-2023</t>
        </is>
      </c>
      <c r="B254" s="1" t="n">
        <v>44944</v>
      </c>
      <c r="C254" s="1" t="n">
        <v>46134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23681-2023</t>
        </is>
      </c>
      <c r="B255" s="1" t="n">
        <v>45077</v>
      </c>
      <c r="C255" s="1" t="n">
        <v>46134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37967-2024</t>
        </is>
      </c>
      <c r="B256" s="1" t="n">
        <v>45544.55668981482</v>
      </c>
      <c r="C256" s="1" t="n">
        <v>46134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34051-2024</t>
        </is>
      </c>
      <c r="B257" s="1" t="n">
        <v>45523</v>
      </c>
      <c r="C257" s="1" t="n">
        <v>46134</v>
      </c>
      <c r="D257" t="inlineStr">
        <is>
          <t>SKÅNE LÄN</t>
        </is>
      </c>
      <c r="E257" t="inlineStr">
        <is>
          <t>KLIPPAN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2083-2025</t>
        </is>
      </c>
      <c r="B258" s="1" t="n">
        <v>45672.58853009259</v>
      </c>
      <c r="C258" s="1" t="n">
        <v>46134</v>
      </c>
      <c r="D258" t="inlineStr">
        <is>
          <t>SKÅNE LÄN</t>
        </is>
      </c>
      <c r="E258" t="inlineStr">
        <is>
          <t>KLIPPAN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52286-2023</t>
        </is>
      </c>
      <c r="B259" s="1" t="n">
        <v>45224.58796296296</v>
      </c>
      <c r="C259" s="1" t="n">
        <v>46134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47870-2022</t>
        </is>
      </c>
      <c r="B260" s="1" t="n">
        <v>44855.43302083333</v>
      </c>
      <c r="C260" s="1" t="n">
        <v>46134</v>
      </c>
      <c r="D260" t="inlineStr">
        <is>
          <t>SKÅNE LÄN</t>
        </is>
      </c>
      <c r="E260" t="inlineStr">
        <is>
          <t>KLIPPAN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15070-2024</t>
        </is>
      </c>
      <c r="B261" s="1" t="n">
        <v>45399.59040509259</v>
      </c>
      <c r="C261" s="1" t="n">
        <v>46134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16418-2025</t>
        </is>
      </c>
      <c r="B262" s="1" t="n">
        <v>45751.46372685185</v>
      </c>
      <c r="C262" s="1" t="n">
        <v>46134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13995-2025</t>
        </is>
      </c>
      <c r="B263" s="1" t="n">
        <v>45739.74271990741</v>
      </c>
      <c r="C263" s="1" t="n">
        <v>46134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11497-2023</t>
        </is>
      </c>
      <c r="B264" s="1" t="n">
        <v>44991</v>
      </c>
      <c r="C264" s="1" t="n">
        <v>46134</v>
      </c>
      <c r="D264" t="inlineStr">
        <is>
          <t>SKÅNE LÄN</t>
        </is>
      </c>
      <c r="E264" t="inlineStr">
        <is>
          <t>KLIPPAN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45596-2024</t>
        </is>
      </c>
      <c r="B265" s="1" t="n">
        <v>45579</v>
      </c>
      <c r="C265" s="1" t="n">
        <v>46134</v>
      </c>
      <c r="D265" t="inlineStr">
        <is>
          <t>SKÅNE LÄN</t>
        </is>
      </c>
      <c r="E265" t="inlineStr">
        <is>
          <t>KLIPPAN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15812-2024</t>
        </is>
      </c>
      <c r="B266" s="1" t="n">
        <v>45404.6669212963</v>
      </c>
      <c r="C266" s="1" t="n">
        <v>46134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25069-2023</t>
        </is>
      </c>
      <c r="B267" s="1" t="n">
        <v>45086</v>
      </c>
      <c r="C267" s="1" t="n">
        <v>46134</v>
      </c>
      <c r="D267" t="inlineStr">
        <is>
          <t>SKÅNE LÄN</t>
        </is>
      </c>
      <c r="E267" t="inlineStr">
        <is>
          <t>KLIPPAN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49370-2023</t>
        </is>
      </c>
      <c r="B268" s="1" t="n">
        <v>45211</v>
      </c>
      <c r="C268" s="1" t="n">
        <v>46134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14620-2025</t>
        </is>
      </c>
      <c r="B269" s="1" t="n">
        <v>45742.41289351852</v>
      </c>
      <c r="C269" s="1" t="n">
        <v>46134</v>
      </c>
      <c r="D269" t="inlineStr">
        <is>
          <t>SKÅNE LÄN</t>
        </is>
      </c>
      <c r="E269" t="inlineStr">
        <is>
          <t>KLIPPAN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61682-2023</t>
        </is>
      </c>
      <c r="B270" s="1" t="n">
        <v>45264</v>
      </c>
      <c r="C270" s="1" t="n">
        <v>46134</v>
      </c>
      <c r="D270" t="inlineStr">
        <is>
          <t>SKÅNE LÄN</t>
        </is>
      </c>
      <c r="E270" t="inlineStr">
        <is>
          <t>KLIPPAN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16399-2025</t>
        </is>
      </c>
      <c r="B271" s="1" t="n">
        <v>45751</v>
      </c>
      <c r="C271" s="1" t="n">
        <v>46134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51276-2024</t>
        </is>
      </c>
      <c r="B272" s="1" t="n">
        <v>45603</v>
      </c>
      <c r="C272" s="1" t="n">
        <v>46134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7746-2024</t>
        </is>
      </c>
      <c r="B273" s="1" t="n">
        <v>45349</v>
      </c>
      <c r="C273" s="1" t="n">
        <v>46134</v>
      </c>
      <c r="D273" t="inlineStr">
        <is>
          <t>SKÅNE LÄN</t>
        </is>
      </c>
      <c r="E273" t="inlineStr">
        <is>
          <t>KLIPPAN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40173-2024</t>
        </is>
      </c>
      <c r="B274" s="1" t="n">
        <v>45554.55435185185</v>
      </c>
      <c r="C274" s="1" t="n">
        <v>46134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55613-2022</t>
        </is>
      </c>
      <c r="B275" s="1" t="n">
        <v>44883</v>
      </c>
      <c r="C275" s="1" t="n">
        <v>46134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36606-2024</t>
        </is>
      </c>
      <c r="B276" s="1" t="n">
        <v>45537.56913194444</v>
      </c>
      <c r="C276" s="1" t="n">
        <v>46134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2026-04-22T10:51:49Z</dcterms:created>
  <dcterms:modified xmlns:dcterms="http://purl.org/dc/terms/" xmlns:xsi="http://www.w3.org/2001/XMLSchema-instance" xsi:type="dcterms:W3CDTF">2026-04-22T10:51:50Z</dcterms:modified>
</cp:coreProperties>
</file>