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46289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46289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46289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46289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46289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46289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46289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46289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46289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54644-2023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45235</v>
      </c>
      <c r="E14" s="1" t="n">
        <v>46289</v>
      </c>
      <c r="F14" t="inlineStr">
        <is>
          <t>SKÅNE LÄN</t>
        </is>
      </c>
      <c r="G14" t="inlineStr">
        <is>
          <t>KLIPPAN</t>
        </is>
      </c>
      <c r="I14" t="n">
        <v>8.1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Havstulpanlav
Spillkråka
Skogsduva</t>
        </is>
      </c>
      <c r="W14">
        <f>HYPERLINK("https://klasma.github.io/Logging_1276/artfynd/A 54644-2023 artfynd.xlsx", "A 54644-2023")</f>
        <v/>
      </c>
      <c r="X14">
        <f>HYPERLINK("https://klasma.github.io/Logging_1276/kartor/A 54644-2023 karta.png", "A 54644-2023")</f>
        <v/>
      </c>
      <c r="Y14">
        <f>HYPERLINK("https://klasma.github.io/Logging_1276/kartor_geotiff/A 54644-2023 georefererad karta.tif", "A 54644-2023")</f>
        <v/>
      </c>
      <c r="AA14">
        <f>HYPERLINK("https://klasma.github.io/Logging_1276/klagomål/A 54644-2023 FSC-klagomål.docx", "A 54644-2023")</f>
        <v/>
      </c>
      <c r="AB14">
        <f>HYPERLINK("https://klasma.github.io/Logging_1276/klagomålsmail/A 54644-2023 FSC-klagomål mail.docx", "A 54644-2023")</f>
        <v/>
      </c>
      <c r="AC14">
        <f>HYPERLINK("https://klasma.github.io/Logging_1276/tillsyn/A 54644-2023 tillsynsbegäran.docx", "A 54644-2023")</f>
        <v/>
      </c>
      <c r="AD14">
        <f>HYPERLINK("https://klasma.github.io/Logging_1276/tillsynsmail/A 54644-2023 tillsynsbegäran mail.docx", "A 54644-2023")</f>
        <v/>
      </c>
      <c r="AE14">
        <f>HYPERLINK("https://klasma.github.io/Logging_1276/fåglar/A 54644-2023 prioriterade fågelarter.docx", "A 54644-2023")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46289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46289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46289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46289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6890-2026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46289</v>
      </c>
      <c r="F19" t="inlineStr">
        <is>
          <t>SKÅNE LÄN</t>
        </is>
      </c>
      <c r="G19" t="inlineStr">
        <is>
          <t>KLIPPAN</t>
        </is>
      </c>
      <c r="I19" t="n">
        <v>8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Enkelbeckasin
Entita
Gröngöling</t>
        </is>
      </c>
      <c r="W19">
        <f>HYPERLINK("https://klasma.github.io/Logging_1276/artfynd/A 6890-2026 artfynd.xlsx", "A 6890-2026")</f>
        <v/>
      </c>
      <c r="X19">
        <f>HYPERLINK("https://klasma.github.io/Logging_1276/kartor/A 6890-2026 karta.png", "A 6890-2026")</f>
        <v/>
      </c>
      <c r="Y19">
        <f>HYPERLINK("https://klasma.github.io/Logging_1276/kartor_geotiff/A 6890-2026 georefererad karta.tif", "A 6890-2026")</f>
        <v/>
      </c>
      <c r="AA19">
        <f>HYPERLINK("https://klasma.github.io/Logging_1276/klagomål/A 6890-2026 FSC-klagomål.docx", "A 6890-2026")</f>
        <v/>
      </c>
      <c r="AB19">
        <f>HYPERLINK("https://klasma.github.io/Logging_1276/klagomålsmail/A 6890-2026 FSC-klagomål mail.docx", "A 6890-2026")</f>
        <v/>
      </c>
      <c r="AC19">
        <f>HYPERLINK("https://klasma.github.io/Logging_1276/tillsyn/A 6890-2026 tillsynsbegäran.docx", "A 6890-2026")</f>
        <v/>
      </c>
      <c r="AD19">
        <f>HYPERLINK("https://klasma.github.io/Logging_1276/tillsynsmail/A 6890-2026 tillsynsbegäran mail.docx", "A 6890-2026")</f>
        <v/>
      </c>
      <c r="AE19">
        <f>HYPERLINK("https://klasma.github.io/Logging_1276/fåglar/A 6890-2026 prioriterade fågelarter.docx", "A 6890-2026")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46289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46289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46289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46289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46289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Svinrot
Grönvit nattviol</t>
        </is>
      </c>
      <c r="W24">
        <f>HYPERLINK("https://klasma.github.io/Logging_1276/artfynd/A 20702-2023 artfynd.xlsx", "A 20702-2023")</f>
        <v/>
      </c>
      <c r="X24">
        <f>HYPERLINK("https://klasma.github.io/Logging_1276/kartor/A 20702-2023 karta.png", "A 20702-2023")</f>
        <v/>
      </c>
      <c r="Y24">
        <f>HYPERLINK("https://klasma.github.io/Logging_1276/kartor_geotiff/A 20702-2023 georefererad karta.tif", "A 20702-2023")</f>
        <v/>
      </c>
      <c r="AA24">
        <f>HYPERLINK("https://klasma.github.io/Logging_1276/klagomål/A 20702-2023 FSC-klagomål.docx", "A 20702-2023")</f>
        <v/>
      </c>
      <c r="AB24">
        <f>HYPERLINK("https://klasma.github.io/Logging_1276/klagomålsmail/A 20702-2023 FSC-klagomål mail.docx", "A 20702-2023")</f>
        <v/>
      </c>
      <c r="AC24">
        <f>HYPERLINK("https://klasma.github.io/Logging_1276/tillsyn/A 20702-2023 tillsynsbegäran.docx", "A 20702-2023")</f>
        <v/>
      </c>
      <c r="AD24">
        <f>HYPERLINK("https://klasma.github.io/Logging_1276/tillsynsmail/A 20702-2023 tillsynsbegäran mail.docx", "A 20702-2023")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46289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46289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46289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46289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46289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46289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46289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46147-2022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46289</v>
      </c>
      <c r="F32" t="inlineStr">
        <is>
          <t>SKÅNE LÄN</t>
        </is>
      </c>
      <c r="G32" t="inlineStr">
        <is>
          <t>KLIPPAN</t>
        </is>
      </c>
      <c r="I32" t="n">
        <v>5.7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Västlig hakmossa</t>
        </is>
      </c>
      <c r="W32">
        <f>HYPERLINK("https://klasma.github.io/Logging_1276/artfynd/A 46147-2022 artfynd.xlsx", "A 46147-2022")</f>
        <v/>
      </c>
      <c r="X32">
        <f>HYPERLINK("https://klasma.github.io/Logging_1276/kartor/A 46147-2022 karta.png", "A 46147-2022")</f>
        <v/>
      </c>
      <c r="Y32">
        <f>HYPERLINK("https://klasma.github.io/Logging_1276/kartor_geotiff/A 46147-2022 georefererad karta.tif", "A 46147-2022")</f>
        <v/>
      </c>
      <c r="AA32">
        <f>HYPERLINK("https://klasma.github.io/Logging_1276/klagomål/A 46147-2022 FSC-klagomål.docx", "A 46147-2022")</f>
        <v/>
      </c>
      <c r="AB32">
        <f>HYPERLINK("https://klasma.github.io/Logging_1276/klagomålsmail/A 46147-2022 FSC-klagomål mail.docx", "A 46147-2022")</f>
        <v/>
      </c>
      <c r="AC32">
        <f>HYPERLINK("https://klasma.github.io/Logging_1276/tillsyn/A 46147-2022 tillsynsbegäran.docx", "A 46147-2022")</f>
        <v/>
      </c>
      <c r="AD32">
        <f>HYPERLINK("https://klasma.github.io/Logging_1276/tillsynsmail/A 46147-2022 tillsynsbegäran mail.docx", "A 46147-2022")</f>
        <v/>
      </c>
    </row>
    <row r="33" ht="15" customHeight="1">
      <c r="A33" t="inlineStr">
        <is>
          <t>A 44885-2022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44841</v>
      </c>
      <c r="E33" s="1" t="n">
        <v>46289</v>
      </c>
      <c r="F33" t="inlineStr">
        <is>
          <t>SKÅNE LÄN</t>
        </is>
      </c>
      <c r="G33" t="inlineStr">
        <is>
          <t>KLIPPAN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HYPERLINK("https://klasma.github.io/Logging_1276/artfynd/A 44885-2022 artfynd.xlsx", "A 44885-2022")</f>
        <v/>
      </c>
      <c r="X33">
        <f>HYPERLINK("https://klasma.github.io/Logging_1276/kartor/A 44885-2022 karta.png", "A 44885-2022")</f>
        <v/>
      </c>
      <c r="Y33">
        <f>HYPERLINK("https://klasma.github.io/Logging_1276/kartor_geotiff/A 44885-2022 georefererad karta.tif", "A 44885-2022")</f>
        <v/>
      </c>
      <c r="AA33">
        <f>HYPERLINK("https://klasma.github.io/Logging_1276/klagomål/A 44885-2022 FSC-klagomål.docx", "A 44885-2022")</f>
        <v/>
      </c>
      <c r="AB33">
        <f>HYPERLINK("https://klasma.github.io/Logging_1276/klagomålsmail/A 44885-2022 FSC-klagomål mail.docx", "A 44885-2022")</f>
        <v/>
      </c>
      <c r="AC33">
        <f>HYPERLINK("https://klasma.github.io/Logging_1276/tillsyn/A 44885-2022 tillsynsbegäran.docx", "A 44885-2022")</f>
        <v/>
      </c>
      <c r="AD33">
        <f>HYPERLINK("https://klasma.github.io/Logging_1276/tillsynsmail/A 44885-2022 tillsynsbegäran mail.docx", "A 44885-2022")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46289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46289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10000-2025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45719</v>
      </c>
      <c r="E36" s="1" t="n">
        <v>46289</v>
      </c>
      <c r="F36" t="inlineStr">
        <is>
          <t>SKÅNE LÄN</t>
        </is>
      </c>
      <c r="G36" t="inlineStr">
        <is>
          <t>KLIPPAN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Dvärghäxört</t>
        </is>
      </c>
      <c r="W36">
        <f>HYPERLINK("https://klasma.github.io/Logging_1276/artfynd/A 10000-2025 artfynd.xlsx", "A 10000-2025")</f>
        <v/>
      </c>
      <c r="X36">
        <f>HYPERLINK("https://klasma.github.io/Logging_1276/kartor/A 10000-2025 karta.png", "A 10000-2025")</f>
        <v/>
      </c>
      <c r="Y36">
        <f>HYPERLINK("https://klasma.github.io/Logging_1276/kartor_geotiff/A 10000-2025 georefererad karta.tif", "A 10000-2025")</f>
        <v/>
      </c>
      <c r="AA36">
        <f>HYPERLINK("https://klasma.github.io/Logging_1276/klagomål/A 10000-2025 FSC-klagomål.docx", "A 10000-2025")</f>
        <v/>
      </c>
      <c r="AB36">
        <f>HYPERLINK("https://klasma.github.io/Logging_1276/klagomålsmail/A 10000-2025 FSC-klagomål mail.docx", "A 10000-2025")</f>
        <v/>
      </c>
      <c r="AC36">
        <f>HYPERLINK("https://klasma.github.io/Logging_1276/tillsyn/A 10000-2025 tillsynsbegäran.docx", "A 10000-2025")</f>
        <v/>
      </c>
      <c r="AD36">
        <f>HYPERLINK("https://klasma.github.io/Logging_1276/tillsynsmail/A 10000-2025 tillsynsbegäran mail.docx", "A 10000-2025")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46289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46289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46289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46289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46289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A 31279-2026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46289</v>
      </c>
      <c r="F42" t="inlineStr">
        <is>
          <t>SKÅNE LÄN</t>
        </is>
      </c>
      <c r="G42" t="inlineStr">
        <is>
          <t>KLIPPAN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31279-2026 artfynd.xlsx", "A 31279-2026")</f>
        <v/>
      </c>
      <c r="X42">
        <f>HYPERLINK("https://klasma.github.io/Logging_1276/kartor/A 31279-2026 karta.png", "A 31279-2026")</f>
        <v/>
      </c>
      <c r="Y42">
        <f>HYPERLINK("https://klasma.github.io/Logging_1276/kartor_geotiff/A 31279-2026 georefererad karta.tif", "A 31279-2026")</f>
        <v/>
      </c>
      <c r="AA42">
        <f>HYPERLINK("https://klasma.github.io/Logging_1276/klagomål/A 31279-2026 FSC-klagomål.docx", "A 31279-2026")</f>
        <v/>
      </c>
      <c r="AB42">
        <f>HYPERLINK("https://klasma.github.io/Logging_1276/klagomålsmail/A 31279-2026 FSC-klagomål mail.docx", "A 31279-2026")</f>
        <v/>
      </c>
      <c r="AC42">
        <f>HYPERLINK("https://klasma.github.io/Logging_1276/tillsyn/A 31279-2026 tillsynsbegäran.docx", "A 31279-2026")</f>
        <v/>
      </c>
      <c r="AD42">
        <f>HYPERLINK("https://klasma.github.io/Logging_1276/tillsynsmail/A 31279-2026 tillsynsbegäran mail.docx", "A 31279-2026")</f>
        <v/>
      </c>
    </row>
    <row r="43" ht="15" customHeight="1">
      <c r="A43" t="inlineStr">
        <is>
          <t>A 37224-2026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46274</v>
      </c>
      <c r="E43" s="1" t="n">
        <v>46289</v>
      </c>
      <c r="F43" t="inlineStr">
        <is>
          <t>SKÅNE LÄN</t>
        </is>
      </c>
      <c r="G43" t="inlineStr">
        <is>
          <t>KLIPPAN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Vanlig groda</t>
        </is>
      </c>
      <c r="W43">
        <f>HYPERLINK("https://klasma.github.io/Logging_1276/artfynd/A 37224-2026 artfynd.xlsx", "A 37224-2026")</f>
        <v/>
      </c>
      <c r="X43">
        <f>HYPERLINK("https://klasma.github.io/Logging_1276/kartor/A 37224-2026 karta.png", "A 37224-2026")</f>
        <v/>
      </c>
      <c r="Y43">
        <f>HYPERLINK("https://klasma.github.io/Logging_1276/kartor_geotiff/A 37224-2026 georefererad karta.tif", "A 37224-2026")</f>
        <v/>
      </c>
      <c r="AA43">
        <f>HYPERLINK("https://klasma.github.io/Logging_1276/klagomål/A 37224-2026 FSC-klagomål.docx", "A 37224-2026")</f>
        <v/>
      </c>
      <c r="AB43">
        <f>HYPERLINK("https://klasma.github.io/Logging_1276/klagomålsmail/A 37224-2026 FSC-klagomål mail.docx", "A 37224-2026")</f>
        <v/>
      </c>
      <c r="AC43">
        <f>HYPERLINK("https://klasma.github.io/Logging_1276/tillsyn/A 37224-2026 tillsynsbegäran.docx", "A 37224-2026")</f>
        <v/>
      </c>
      <c r="AD43">
        <f>HYPERLINK("https://klasma.github.io/Logging_1276/tillsynsmail/A 37224-2026 tillsynsbegäran mail.docx", "A 37224-2026")</f>
        <v/>
      </c>
    </row>
    <row r="44" ht="15" customHeight="1">
      <c r="A44" t="inlineStr">
        <is>
          <t>S 2025-2022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44665</v>
      </c>
      <c r="E44" s="1" t="n">
        <v>46289</v>
      </c>
      <c r="F44" t="inlineStr">
        <is>
          <t>SKÅNE LÄN</t>
        </is>
      </c>
      <c r="G44" t="inlineStr">
        <is>
          <t>KLIPPAN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Tibast</t>
        </is>
      </c>
      <c r="W44">
        <f>HYPERLINK("https://klasma.github.io/Logging_1276/artfynd/S 2025-2022 artfynd.xlsx", "S 2025-2022")</f>
        <v/>
      </c>
      <c r="X44">
        <f>HYPERLINK("https://klasma.github.io/Logging_1276/kartor/S 2025-2022 karta.png", "S 2025-2022")</f>
        <v/>
      </c>
      <c r="Y44">
        <f>HYPERLINK("https://klasma.github.io/Logging_1276/kartor_geotiff/S 2025-2022 georefererad karta.tif", "S 2025-2022")</f>
        <v/>
      </c>
      <c r="AA44">
        <f>HYPERLINK("https://klasma.github.io/Logging_1276/klagomål/S 2025-2022 FSC-klagomål.docx", "S 2025-2022")</f>
        <v/>
      </c>
      <c r="AB44">
        <f>HYPERLINK("https://klasma.github.io/Logging_1276/klagomålsmail/S 2025-2022 FSC-klagomål mail.docx", "S 2025-2022")</f>
        <v/>
      </c>
      <c r="AC44">
        <f>HYPERLINK("https://klasma.github.io/Logging_1276/tillsyn/S 2025-2022 tillsynsbegäran.docx", "S 2025-2022")</f>
        <v/>
      </c>
      <c r="AD44">
        <f>HYPERLINK("https://klasma.github.io/Logging_1276/tillsynsmail/S 2025-2022 tillsynsbegäran mail.docx", "S 2025-2022")</f>
        <v/>
      </c>
    </row>
    <row r="45" ht="15" customHeight="1">
      <c r="A45" t="inlineStr">
        <is>
          <t>S 841-2023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44992</v>
      </c>
      <c r="E45" s="1" t="n">
        <v>46289</v>
      </c>
      <c r="F45" t="inlineStr">
        <is>
          <t>SKÅNE LÄN</t>
        </is>
      </c>
      <c r="G45" t="inlineStr">
        <is>
          <t>KLIPPAN</t>
        </is>
      </c>
      <c r="I45" t="n">
        <v>23.9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HYPERLINK("https://klasma.github.io/Logging_1276/artfynd/S 841-2023 artfynd.xlsx", "S 841-2023")</f>
        <v/>
      </c>
      <c r="X45">
        <f>HYPERLINK("https://klasma.github.io/Logging_1276/kartor/S 841-2023 karta.png", "S 841-2023")</f>
        <v/>
      </c>
      <c r="Y45">
        <f>HYPERLINK("https://klasma.github.io/Logging_1276/kartor_geotiff/S 841-2023 georefererad karta.tif", "S 841-2023")</f>
        <v/>
      </c>
      <c r="AA45">
        <f>HYPERLINK("https://klasma.github.io/Logging_1276/klagomål/S 841-2023 FSC-klagomål.docx", "S 841-2023")</f>
        <v/>
      </c>
      <c r="AB45">
        <f>HYPERLINK("https://klasma.github.io/Logging_1276/klagomålsmail/S 841-2023 FSC-klagomål mail.docx", "S 841-2023")</f>
        <v/>
      </c>
      <c r="AC45">
        <f>HYPERLINK("https://klasma.github.io/Logging_1276/tillsyn/S 841-2023 tillsynsbegäran.docx", "S 841-2023")</f>
        <v/>
      </c>
      <c r="AD45">
        <f>HYPERLINK("https://klasma.github.io/Logging_1276/tillsynsmail/S 841-2023 tillsynsbegäran mail.docx", "S 841-2023")</f>
        <v/>
      </c>
    </row>
    <row r="46" ht="15" customHeight="1">
      <c r="A46" t="inlineStr">
        <is>
          <t>S 3667-2023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45217</v>
      </c>
      <c r="E46" s="1" t="n">
        <v>46289</v>
      </c>
      <c r="F46" t="inlineStr">
        <is>
          <t>SKÅNE LÄN</t>
        </is>
      </c>
      <c r="G46" t="inlineStr">
        <is>
          <t>KLIPPAN</t>
        </is>
      </c>
      <c r="I46" t="n">
        <v>186.4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HYPERLINK("https://klasma.github.io/Logging_1276/artfynd/S 3667-2023 artfynd.xlsx", "S 3667-2023")</f>
        <v/>
      </c>
      <c r="X46">
        <f>HYPERLINK("https://klasma.github.io/Logging_1276/kartor/S 3667-2023 karta.png", "S 3667-2023")</f>
        <v/>
      </c>
      <c r="Y46">
        <f>HYPERLINK("https://klasma.github.io/Logging_1276/kartor_geotiff/S 3667-2023 georefererad karta.tif", "S 3667-2023")</f>
        <v/>
      </c>
      <c r="AA46">
        <f>HYPERLINK("https://klasma.github.io/Logging_1276/klagomål/S 3667-2023 FSC-klagomål.docx", "S 3667-2023")</f>
        <v/>
      </c>
      <c r="AB46">
        <f>HYPERLINK("https://klasma.github.io/Logging_1276/klagomålsmail/S 3667-2023 FSC-klagomål mail.docx", "S 3667-2023")</f>
        <v/>
      </c>
      <c r="AC46">
        <f>HYPERLINK("https://klasma.github.io/Logging_1276/tillsyn/S 3667-2023 tillsynsbegäran.docx", "S 3667-2023")</f>
        <v/>
      </c>
      <c r="AD46">
        <f>HYPERLINK("https://klasma.github.io/Logging_1276/tillsynsmail/S 3667-2023 tillsynsbegäran mail.docx", "S 3667-2023")</f>
        <v/>
      </c>
    </row>
    <row r="47" ht="15" customHeight="1">
      <c r="A47" t="inlineStr">
        <is>
          <t>S 5988-2022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44859</v>
      </c>
      <c r="E47" s="1" t="n">
        <v>46289</v>
      </c>
      <c r="F47" t="inlineStr">
        <is>
          <t>SKÅNE LÄN</t>
        </is>
      </c>
      <c r="G47" t="inlineStr">
        <is>
          <t>KLIPPAN</t>
        </is>
      </c>
      <c r="I47" t="n">
        <v>27.8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HYPERLINK("https://klasma.github.io/Logging_1276/artfynd/S 5988-2022 artfynd.xlsx", "S 5988-2022")</f>
        <v/>
      </c>
      <c r="X47">
        <f>HYPERLINK("https://klasma.github.io/Logging_1276/kartor/S 5988-2022 karta.png", "S 5988-2022")</f>
        <v/>
      </c>
      <c r="Y47">
        <f>HYPERLINK("https://klasma.github.io/Logging_1276/kartor_geotiff/S 5988-2022 georefererad karta.tif", "S 5988-2022")</f>
        <v/>
      </c>
      <c r="AA47">
        <f>HYPERLINK("https://klasma.github.io/Logging_1276/klagomål/S 5988-2022 FSC-klagomål.docx", "S 5988-2022")</f>
        <v/>
      </c>
      <c r="AB47">
        <f>HYPERLINK("https://klasma.github.io/Logging_1276/klagomålsmail/S 5988-2022 FSC-klagomål mail.docx", "S 5988-2022")</f>
        <v/>
      </c>
      <c r="AC47">
        <f>HYPERLINK("https://klasma.github.io/Logging_1276/tillsyn/S 5988-2022 tillsynsbegäran.docx", "S 5988-2022")</f>
        <v/>
      </c>
      <c r="AD47">
        <f>HYPERLINK("https://klasma.github.io/Logging_1276/tillsynsmail/S 5988-2022 tillsynsbegäran mail.docx", "S 5988-2022")</f>
        <v/>
      </c>
    </row>
    <row r="48" ht="15" customHeight="1">
      <c r="A48" t="inlineStr">
        <is>
          <t>A 55629-2022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46289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46289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46289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46289</v>
      </c>
      <c r="F52" t="inlineStr">
        <is>
          <t>SKÅNE LÄN</t>
        </is>
      </c>
      <c r="G52" t="inlineStr">
        <is>
          <t>KLIPPAN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46289</v>
      </c>
      <c r="F53" t="inlineStr">
        <is>
          <t>SKÅNE LÄN</t>
        </is>
      </c>
      <c r="G53" t="inlineStr">
        <is>
          <t>KLIPPAN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46289</v>
      </c>
      <c r="F54" t="inlineStr">
        <is>
          <t>SKÅNE LÄN</t>
        </is>
      </c>
      <c r="G54" t="inlineStr">
        <is>
          <t>KLIPPAN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46289</v>
      </c>
      <c r="F55" t="inlineStr">
        <is>
          <t>SKÅNE LÄN</t>
        </is>
      </c>
      <c r="G55" t="inlineStr">
        <is>
          <t>KLIPPAN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46289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46289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46289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46289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44608</v>
      </c>
      <c r="E60" s="1" t="n">
        <v>46289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46289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46289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46289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46289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7746-2024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45349</v>
      </c>
      <c r="E65" s="1" t="n">
        <v>46289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45554</v>
      </c>
      <c r="E66" s="1" t="n">
        <v>46289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46289</v>
      </c>
      <c r="F67" t="inlineStr">
        <is>
          <t>SKÅNE LÄN</t>
        </is>
      </c>
      <c r="G67" t="inlineStr">
        <is>
          <t>KLIPPAN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46289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45013</v>
      </c>
      <c r="E69" s="1" t="n">
        <v>46289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46289</v>
      </c>
      <c r="F70" t="inlineStr">
        <is>
          <t>SKÅNE LÄN</t>
        </is>
      </c>
      <c r="G70" t="inlineStr">
        <is>
          <t>KLIPPAN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46289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46289</v>
      </c>
      <c r="F72" t="inlineStr">
        <is>
          <t>SKÅNE LÄN</t>
        </is>
      </c>
      <c r="G72" t="inlineStr">
        <is>
          <t>KLIPPAN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46289</v>
      </c>
      <c r="F73" t="inlineStr">
        <is>
          <t>SKÅNE LÄN</t>
        </is>
      </c>
      <c r="G73" t="inlineStr">
        <is>
          <t>KLIPPAN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44679</v>
      </c>
      <c r="E74" s="1" t="n">
        <v>46289</v>
      </c>
      <c r="F74" t="inlineStr">
        <is>
          <t>SKÅNE LÄN</t>
        </is>
      </c>
      <c r="G74" t="inlineStr">
        <is>
          <t>KLIPPAN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45341</v>
      </c>
      <c r="E75" s="1" t="n">
        <v>46289</v>
      </c>
      <c r="F75" t="inlineStr">
        <is>
          <t>SKÅNE LÄN</t>
        </is>
      </c>
      <c r="G75" t="inlineStr">
        <is>
          <t>KLIPPAN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46289</v>
      </c>
      <c r="F76" t="inlineStr">
        <is>
          <t>SKÅNE LÄN</t>
        </is>
      </c>
      <c r="G76" t="inlineStr">
        <is>
          <t>KLIPPAN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46289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46289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46289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45537</v>
      </c>
      <c r="E80" s="1" t="n">
        <v>46289</v>
      </c>
      <c r="F80" t="inlineStr">
        <is>
          <t>SKÅNE LÄN</t>
        </is>
      </c>
      <c r="G80" t="inlineStr">
        <is>
          <t>KLIPPAN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46289</v>
      </c>
      <c r="F81" t="inlineStr">
        <is>
          <t>SKÅNE LÄN</t>
        </is>
      </c>
      <c r="G81" t="inlineStr">
        <is>
          <t>KLIPPAN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69041-2021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44529</v>
      </c>
      <c r="E82" s="1" t="n">
        <v>46289</v>
      </c>
      <c r="F82" t="inlineStr">
        <is>
          <t>SKÅNE LÄN</t>
        </is>
      </c>
      <c r="G82" t="inlineStr">
        <is>
          <t>KLIPPAN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46289</v>
      </c>
      <c r="F83" t="inlineStr">
        <is>
          <t>SKÅNE LÄN</t>
        </is>
      </c>
      <c r="G83" t="inlineStr">
        <is>
          <t>KLIPPAN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45079</v>
      </c>
      <c r="E84" s="1" t="n">
        <v>46289</v>
      </c>
      <c r="F84" t="inlineStr">
        <is>
          <t>SKÅNE LÄN</t>
        </is>
      </c>
      <c r="G84" t="inlineStr">
        <is>
          <t>KLIPPAN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46289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46289</v>
      </c>
      <c r="F86" t="inlineStr">
        <is>
          <t>SKÅNE LÄN</t>
        </is>
      </c>
      <c r="G86" t="inlineStr">
        <is>
          <t>KLIPPAN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45538</v>
      </c>
      <c r="E87" s="1" t="n">
        <v>46289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46289</v>
      </c>
      <c r="F88" t="inlineStr">
        <is>
          <t>SKÅNE LÄN</t>
        </is>
      </c>
      <c r="G88" t="inlineStr">
        <is>
          <t>KLIPPAN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45055</v>
      </c>
      <c r="E89" s="1" t="n">
        <v>46289</v>
      </c>
      <c r="F89" t="inlineStr">
        <is>
          <t>SKÅNE LÄN</t>
        </is>
      </c>
      <c r="G89" t="inlineStr">
        <is>
          <t>KLIPPAN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46289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45239</v>
      </c>
      <c r="E91" s="1" t="n">
        <v>46289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46289</v>
      </c>
      <c r="F92" t="inlineStr">
        <is>
          <t>SKÅNE LÄN</t>
        </is>
      </c>
      <c r="G92" t="inlineStr">
        <is>
          <t>KLIPPAN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46289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46289</v>
      </c>
      <c r="F94" t="inlineStr">
        <is>
          <t>SKÅNE LÄN</t>
        </is>
      </c>
      <c r="G94" t="inlineStr">
        <is>
          <t>KLIPPAN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46289</v>
      </c>
      <c r="F95" t="inlineStr">
        <is>
          <t>SKÅNE LÄN</t>
        </is>
      </c>
      <c r="G95" t="inlineStr">
        <is>
          <t>KLIPPAN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46289</v>
      </c>
      <c r="F96" t="inlineStr">
        <is>
          <t>SKÅNE LÄN</t>
        </is>
      </c>
      <c r="G96" t="inlineStr">
        <is>
          <t>KLIPPAN</t>
        </is>
      </c>
      <c r="I96" t="n">
        <v>20.9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46289</v>
      </c>
      <c r="F97" t="inlineStr">
        <is>
          <t>SKÅNE LÄN</t>
        </is>
      </c>
      <c r="G97" t="inlineStr">
        <is>
          <t>KLIPPAN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46289</v>
      </c>
      <c r="F98" t="inlineStr">
        <is>
          <t>SKÅNE LÄN</t>
        </is>
      </c>
      <c r="G98" t="inlineStr">
        <is>
          <t>KLIPPAN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46289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46289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46289</v>
      </c>
      <c r="F101" t="inlineStr">
        <is>
          <t>SKÅNE LÄN</t>
        </is>
      </c>
      <c r="G101" t="inlineStr">
        <is>
          <t>KLIPPAN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46289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46289</v>
      </c>
      <c r="F103" t="inlineStr">
        <is>
          <t>SKÅNE LÄN</t>
        </is>
      </c>
      <c r="G103" t="inlineStr">
        <is>
          <t>KLIPPAN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46289</v>
      </c>
      <c r="F104" t="inlineStr">
        <is>
          <t>SKÅNE LÄN</t>
        </is>
      </c>
      <c r="G104" t="inlineStr">
        <is>
          <t>KLIPPAN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44228-2024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45573</v>
      </c>
      <c r="E105" s="1" t="n">
        <v>46289</v>
      </c>
      <c r="F105" t="inlineStr">
        <is>
          <t>SKÅNE LÄN</t>
        </is>
      </c>
      <c r="G105" t="inlineStr">
        <is>
          <t>KLIPPAN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46289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44841</v>
      </c>
      <c r="E107" s="1" t="n">
        <v>46289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46289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46289</v>
      </c>
      <c r="F109" t="inlineStr">
        <is>
          <t>SKÅNE LÄN</t>
        </is>
      </c>
      <c r="G109" t="inlineStr">
        <is>
          <t>KLIPPAN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44489</v>
      </c>
      <c r="E110" s="1" t="n">
        <v>46289</v>
      </c>
      <c r="F110" t="inlineStr">
        <is>
          <t>SKÅNE LÄN</t>
        </is>
      </c>
      <c r="G110" t="inlineStr">
        <is>
          <t>KLIPPAN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45641-2022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44845</v>
      </c>
      <c r="E111" s="1" t="n">
        <v>46289</v>
      </c>
      <c r="F111" t="inlineStr">
        <is>
          <t>SKÅNE LÄN</t>
        </is>
      </c>
      <c r="G111" t="inlineStr">
        <is>
          <t>KLIPPAN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46289</v>
      </c>
      <c r="F112" t="inlineStr">
        <is>
          <t>SKÅNE LÄN</t>
        </is>
      </c>
      <c r="G112" t="inlineStr">
        <is>
          <t>KLIPPAN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46289</v>
      </c>
      <c r="F113" t="inlineStr">
        <is>
          <t>SKÅNE LÄN</t>
        </is>
      </c>
      <c r="G113" t="inlineStr">
        <is>
          <t>KLIPPAN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46289</v>
      </c>
      <c r="F114" t="inlineStr">
        <is>
          <t>SKÅNE LÄN</t>
        </is>
      </c>
      <c r="G114" t="inlineStr">
        <is>
          <t>KLIPPAN</t>
        </is>
      </c>
      <c r="H114" t="inlineStr">
        <is>
          <t>Övriga Aktiebolag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46289</v>
      </c>
      <c r="F115" t="inlineStr">
        <is>
          <t>SKÅNE LÄN</t>
        </is>
      </c>
      <c r="G115" t="inlineStr">
        <is>
          <t>KLIPPAN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46289</v>
      </c>
      <c r="F116" t="inlineStr">
        <is>
          <t>SKÅNE LÄN</t>
        </is>
      </c>
      <c r="G116" t="inlineStr">
        <is>
          <t>KLIPPAN</t>
        </is>
      </c>
      <c r="H116" t="inlineStr">
        <is>
          <t>Övriga Aktiebolag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45847</v>
      </c>
      <c r="E117" s="1" t="n">
        <v>46289</v>
      </c>
      <c r="F117" t="inlineStr">
        <is>
          <t>SKÅNE LÄN</t>
        </is>
      </c>
      <c r="G117" t="inlineStr">
        <is>
          <t>KLIPPAN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46289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44988</v>
      </c>
      <c r="E119" s="1" t="n">
        <v>46289</v>
      </c>
      <c r="F119" t="inlineStr">
        <is>
          <t>SKÅNE LÄN</t>
        </is>
      </c>
      <c r="G119" t="inlineStr">
        <is>
          <t>KLIPPAN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46289</v>
      </c>
      <c r="F120" t="inlineStr">
        <is>
          <t>SKÅNE LÄN</t>
        </is>
      </c>
      <c r="G120" t="inlineStr">
        <is>
          <t>KLIPPAN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46289</v>
      </c>
      <c r="F121" t="inlineStr">
        <is>
          <t>SKÅNE LÄN</t>
        </is>
      </c>
      <c r="G121" t="inlineStr">
        <is>
          <t>KLIPPAN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46289</v>
      </c>
      <c r="F122" t="inlineStr">
        <is>
          <t>SKÅNE LÄN</t>
        </is>
      </c>
      <c r="G122" t="inlineStr">
        <is>
          <t>KLIPPAN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45739</v>
      </c>
      <c r="E123" s="1" t="n">
        <v>46289</v>
      </c>
      <c r="F123" t="inlineStr">
        <is>
          <t>SKÅNE LÄN</t>
        </is>
      </c>
      <c r="G123" t="inlineStr">
        <is>
          <t>KLIPPAN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46289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46289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46289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45673</v>
      </c>
      <c r="E127" s="1" t="n">
        <v>46289</v>
      </c>
      <c r="F127" t="inlineStr">
        <is>
          <t>SKÅNE LÄN</t>
        </is>
      </c>
      <c r="G127" t="inlineStr">
        <is>
          <t>KLIPPAN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46289</v>
      </c>
      <c r="F128" t="inlineStr">
        <is>
          <t>SKÅNE LÄN</t>
        </is>
      </c>
      <c r="G128" t="inlineStr">
        <is>
          <t>KLIPPAN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45324</v>
      </c>
      <c r="E129" s="1" t="n">
        <v>46289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46289</v>
      </c>
      <c r="F130" t="inlineStr">
        <is>
          <t>SKÅNE LÄN</t>
        </is>
      </c>
      <c r="G130" t="inlineStr">
        <is>
          <t>KLIPPAN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46289</v>
      </c>
      <c r="F131" t="inlineStr">
        <is>
          <t>SKÅNE LÄN</t>
        </is>
      </c>
      <c r="G131" t="inlineStr">
        <is>
          <t>KLIPPAN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44928</v>
      </c>
      <c r="E132" s="1" t="n">
        <v>46289</v>
      </c>
      <c r="F132" t="inlineStr">
        <is>
          <t>SKÅNE LÄN</t>
        </is>
      </c>
      <c r="G132" t="inlineStr">
        <is>
          <t>KLIPPAN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46289</v>
      </c>
      <c r="F133" t="inlineStr">
        <is>
          <t>SKÅNE LÄN</t>
        </is>
      </c>
      <c r="G133" t="inlineStr">
        <is>
          <t>KLIPPAN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46289</v>
      </c>
      <c r="F134" t="inlineStr">
        <is>
          <t>SKÅNE LÄN</t>
        </is>
      </c>
      <c r="G134" t="inlineStr">
        <is>
          <t>KLIPPAN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46289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45199</v>
      </c>
      <c r="E136" s="1" t="n">
        <v>46289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46289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46289</v>
      </c>
      <c r="F138" t="inlineStr">
        <is>
          <t>SKÅNE LÄN</t>
        </is>
      </c>
      <c r="G138" t="inlineStr">
        <is>
          <t>KLIPPAN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46289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46289</v>
      </c>
      <c r="F140" t="inlineStr">
        <is>
          <t>SKÅNE LÄN</t>
        </is>
      </c>
      <c r="G140" t="inlineStr">
        <is>
          <t>KLIPPAN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45104</v>
      </c>
      <c r="E141" s="1" t="n">
        <v>46289</v>
      </c>
      <c r="F141" t="inlineStr">
        <is>
          <t>SKÅNE LÄN</t>
        </is>
      </c>
      <c r="G141" t="inlineStr">
        <is>
          <t>KLIPPAN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46289</v>
      </c>
      <c r="F142" t="inlineStr">
        <is>
          <t>SKÅNE LÄN</t>
        </is>
      </c>
      <c r="G142" t="inlineStr">
        <is>
          <t>KLIPPAN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46289</v>
      </c>
      <c r="F143" t="inlineStr">
        <is>
          <t>SKÅNE LÄN</t>
        </is>
      </c>
      <c r="G143" t="inlineStr">
        <is>
          <t>KLIPPAN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46289</v>
      </c>
      <c r="F144" t="inlineStr">
        <is>
          <t>SKÅNE LÄN</t>
        </is>
      </c>
      <c r="G144" t="inlineStr">
        <is>
          <t>KLIPPAN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46289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45094</v>
      </c>
      <c r="E146" s="1" t="n">
        <v>46289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45055</v>
      </c>
      <c r="E147" s="1" t="n">
        <v>46289</v>
      </c>
      <c r="F147" t="inlineStr">
        <is>
          <t>SKÅNE LÄN</t>
        </is>
      </c>
      <c r="G147" t="inlineStr">
        <is>
          <t>KLIPPAN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23978-2022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46289</v>
      </c>
      <c r="F148" t="inlineStr">
        <is>
          <t>SKÅNE LÄN</t>
        </is>
      </c>
      <c r="G148" t="inlineStr">
        <is>
          <t>KLIPPAN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46289</v>
      </c>
      <c r="F149" t="inlineStr">
        <is>
          <t>SKÅNE LÄN</t>
        </is>
      </c>
      <c r="G149" t="inlineStr">
        <is>
          <t>KLIPPAN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46289</v>
      </c>
      <c r="F150" t="inlineStr">
        <is>
          <t>SKÅNE LÄN</t>
        </is>
      </c>
      <c r="G150" t="inlineStr">
        <is>
          <t>KLIPPAN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46289</v>
      </c>
      <c r="F151" t="inlineStr">
        <is>
          <t>SKÅNE LÄN</t>
        </is>
      </c>
      <c r="G151" t="inlineStr">
        <is>
          <t>KLIPPAN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46289</v>
      </c>
      <c r="F152" t="inlineStr">
        <is>
          <t>SKÅNE LÄN</t>
        </is>
      </c>
      <c r="G152" t="inlineStr">
        <is>
          <t>KLIPPAN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46289</v>
      </c>
      <c r="F153" t="inlineStr">
        <is>
          <t>SKÅNE LÄN</t>
        </is>
      </c>
      <c r="G153" t="inlineStr">
        <is>
          <t>KLIPPAN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46289</v>
      </c>
      <c r="F154" t="inlineStr">
        <is>
          <t>SKÅNE LÄN</t>
        </is>
      </c>
      <c r="G154" t="inlineStr">
        <is>
          <t>KLIPPAN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46289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44697</v>
      </c>
      <c r="E156" s="1" t="n">
        <v>46289</v>
      </c>
      <c r="F156" t="inlineStr">
        <is>
          <t>SKÅNE LÄN</t>
        </is>
      </c>
      <c r="G156" t="inlineStr">
        <is>
          <t>KLIPPAN</t>
        </is>
      </c>
      <c r="I156" t="n">
        <v>17.2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46289</v>
      </c>
      <c r="F157" t="inlineStr">
        <is>
          <t>SKÅNE LÄN</t>
        </is>
      </c>
      <c r="G157" t="inlineStr">
        <is>
          <t>KLIPPAN</t>
        </is>
      </c>
      <c r="H157" t="inlineStr">
        <is>
          <t>Övriga Aktiebolag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46289</v>
      </c>
      <c r="F158" t="inlineStr">
        <is>
          <t>SKÅNE LÄN</t>
        </is>
      </c>
      <c r="G158" t="inlineStr">
        <is>
          <t>KLIPPAN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46289</v>
      </c>
      <c r="F159" t="inlineStr">
        <is>
          <t>SKÅNE LÄN</t>
        </is>
      </c>
      <c r="G159" t="inlineStr">
        <is>
          <t>KLIPPAN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46289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46289</v>
      </c>
      <c r="F161" t="inlineStr">
        <is>
          <t>SKÅNE LÄN</t>
        </is>
      </c>
      <c r="G161" t="inlineStr">
        <is>
          <t>KLIPPAN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45660</v>
      </c>
      <c r="E162" s="1" t="n">
        <v>46289</v>
      </c>
      <c r="F162" t="inlineStr">
        <is>
          <t>SKÅNE LÄN</t>
        </is>
      </c>
      <c r="G162" t="inlineStr">
        <is>
          <t>KLIPPAN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45442</v>
      </c>
      <c r="E163" s="1" t="n">
        <v>46289</v>
      </c>
      <c r="F163" t="inlineStr">
        <is>
          <t>SKÅNE LÄN</t>
        </is>
      </c>
      <c r="G163" t="inlineStr">
        <is>
          <t>KLIPPAN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46728-2023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45198</v>
      </c>
      <c r="E164" s="1" t="n">
        <v>46289</v>
      </c>
      <c r="F164" t="inlineStr">
        <is>
          <t>SKÅNE LÄN</t>
        </is>
      </c>
      <c r="G164" t="inlineStr">
        <is>
          <t>KLIPPAN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46289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44722</v>
      </c>
      <c r="E166" s="1" t="n">
        <v>46289</v>
      </c>
      <c r="F166" t="inlineStr">
        <is>
          <t>SKÅNE LÄN</t>
        </is>
      </c>
      <c r="G166" t="inlineStr">
        <is>
          <t>KLIPPAN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46289</v>
      </c>
      <c r="F167" t="inlineStr">
        <is>
          <t>SKÅNE LÄN</t>
        </is>
      </c>
      <c r="G167" t="inlineStr">
        <is>
          <t>KLIPPAN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45055</v>
      </c>
      <c r="E168" s="1" t="n">
        <v>46289</v>
      </c>
      <c r="F168" t="inlineStr">
        <is>
          <t>SKÅNE LÄN</t>
        </is>
      </c>
      <c r="G168" t="inlineStr">
        <is>
          <t>KLIPPAN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46289</v>
      </c>
      <c r="F169" t="inlineStr">
        <is>
          <t>SKÅNE LÄN</t>
        </is>
      </c>
      <c r="G169" t="inlineStr">
        <is>
          <t>KLIPPAN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24333-2022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44726</v>
      </c>
      <c r="E170" s="1" t="n">
        <v>46289</v>
      </c>
      <c r="F170" t="inlineStr">
        <is>
          <t>SKÅNE LÄN</t>
        </is>
      </c>
      <c r="G170" t="inlineStr">
        <is>
          <t>KLIPPAN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46289</v>
      </c>
      <c r="F171" t="inlineStr">
        <is>
          <t>SKÅNE LÄN</t>
        </is>
      </c>
      <c r="G171" t="inlineStr">
        <is>
          <t>KLIPPAN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46289</v>
      </c>
      <c r="F172" t="inlineStr">
        <is>
          <t>SKÅNE LÄN</t>
        </is>
      </c>
      <c r="G172" t="inlineStr">
        <is>
          <t>KLIPPAN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46289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46289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29284-2025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45824</v>
      </c>
      <c r="E175" s="1" t="n">
        <v>46289</v>
      </c>
      <c r="F175" t="inlineStr">
        <is>
          <t>SKÅNE LÄN</t>
        </is>
      </c>
      <c r="G175" t="inlineStr">
        <is>
          <t>KLIPPAN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46289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46289</v>
      </c>
      <c r="F177" t="inlineStr">
        <is>
          <t>SKÅNE LÄN</t>
        </is>
      </c>
      <c r="G177" t="inlineStr">
        <is>
          <t>KLIPPAN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46289</v>
      </c>
      <c r="F178" t="inlineStr">
        <is>
          <t>SKÅNE LÄN</t>
        </is>
      </c>
      <c r="G178" t="inlineStr">
        <is>
          <t>KLIPPAN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46289</v>
      </c>
      <c r="F179" t="inlineStr">
        <is>
          <t>SKÅNE LÄN</t>
        </is>
      </c>
      <c r="G179" t="inlineStr">
        <is>
          <t>KLIPPAN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46289</v>
      </c>
      <c r="F180" t="inlineStr">
        <is>
          <t>SKÅNE LÄN</t>
        </is>
      </c>
      <c r="G180" t="inlineStr">
        <is>
          <t>KLIPPAN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46289</v>
      </c>
      <c r="F181" t="inlineStr">
        <is>
          <t>SKÅNE LÄN</t>
        </is>
      </c>
      <c r="G181" t="inlineStr">
        <is>
          <t>KLIPPAN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46289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46289</v>
      </c>
      <c r="F183" t="inlineStr">
        <is>
          <t>SKÅNE LÄN</t>
        </is>
      </c>
      <c r="G183" t="inlineStr">
        <is>
          <t>KLIPPAN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46289</v>
      </c>
      <c r="F184" t="inlineStr">
        <is>
          <t>SKÅNE LÄN</t>
        </is>
      </c>
      <c r="G184" t="inlineStr">
        <is>
          <t>KLIPPAN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46289</v>
      </c>
      <c r="F185" t="inlineStr">
        <is>
          <t>SKÅNE LÄN</t>
        </is>
      </c>
      <c r="G185" t="inlineStr">
        <is>
          <t>KLIPPAN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46049</v>
      </c>
      <c r="E186" s="1" t="n">
        <v>46289</v>
      </c>
      <c r="F186" t="inlineStr">
        <is>
          <t>SKÅNE LÄN</t>
        </is>
      </c>
      <c r="G186" t="inlineStr">
        <is>
          <t>KLIPPAN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64224-2023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45279</v>
      </c>
      <c r="E187" s="1" t="n">
        <v>46289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46289</v>
      </c>
      <c r="F188" t="inlineStr">
        <is>
          <t>SKÅNE LÄN</t>
        </is>
      </c>
      <c r="G188" t="inlineStr">
        <is>
          <t>KLIPPAN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46289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46289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46289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46289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44880</v>
      </c>
      <c r="E193" s="1" t="n">
        <v>46289</v>
      </c>
      <c r="F193" t="inlineStr">
        <is>
          <t>SKÅNE LÄN</t>
        </is>
      </c>
      <c r="G193" t="inlineStr">
        <is>
          <t>KLIPPAN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46289</v>
      </c>
      <c r="F194" t="inlineStr">
        <is>
          <t>SKÅNE LÄN</t>
        </is>
      </c>
      <c r="G194" t="inlineStr">
        <is>
          <t>KLIPPAN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68856-2021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46289</v>
      </c>
      <c r="F195" t="inlineStr">
        <is>
          <t>SKÅNE LÄN</t>
        </is>
      </c>
      <c r="G195" t="inlineStr">
        <is>
          <t>KLIPPAN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46289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46289</v>
      </c>
      <c r="F197" t="inlineStr">
        <is>
          <t>SKÅNE LÄN</t>
        </is>
      </c>
      <c r="G197" t="inlineStr">
        <is>
          <t>KLIPPAN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46287</v>
      </c>
      <c r="E198" s="1" t="n">
        <v>46289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46289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31588-2026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46223</v>
      </c>
      <c r="E200" s="1" t="n">
        <v>46289</v>
      </c>
      <c r="F200" t="inlineStr">
        <is>
          <t>SKÅNE LÄN</t>
        </is>
      </c>
      <c r="G200" t="inlineStr">
        <is>
          <t>KLIPPAN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46289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46245</v>
      </c>
      <c r="E202" s="1" t="n">
        <v>46289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46289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46289</v>
      </c>
      <c r="F204" t="inlineStr">
        <is>
          <t>SKÅNE LÄN</t>
        </is>
      </c>
      <c r="G204" t="inlineStr">
        <is>
          <t>KLIPPAN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44936</v>
      </c>
      <c r="E205" s="1" t="n">
        <v>46289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46289</v>
      </c>
      <c r="F206" t="inlineStr">
        <is>
          <t>SKÅNE LÄN</t>
        </is>
      </c>
      <c r="G206" t="inlineStr">
        <is>
          <t>KLIPPAN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44993</v>
      </c>
      <c r="E207" s="1" t="n">
        <v>46289</v>
      </c>
      <c r="F207" t="inlineStr">
        <is>
          <t>SKÅNE LÄN</t>
        </is>
      </c>
      <c r="G207" t="inlineStr">
        <is>
          <t>KLIPPAN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46289</v>
      </c>
      <c r="F208" t="inlineStr">
        <is>
          <t>SKÅNE LÄN</t>
        </is>
      </c>
      <c r="G208" t="inlineStr">
        <is>
          <t>KLIPPAN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46289</v>
      </c>
      <c r="F209" t="inlineStr">
        <is>
          <t>SKÅNE LÄN</t>
        </is>
      </c>
      <c r="G209" t="inlineStr">
        <is>
          <t>KLIPPAN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46289</v>
      </c>
      <c r="F210" t="inlineStr">
        <is>
          <t>SKÅNE LÄN</t>
        </is>
      </c>
      <c r="G210" t="inlineStr">
        <is>
          <t>KLIPPAN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46289</v>
      </c>
      <c r="F211" t="inlineStr">
        <is>
          <t>SKÅNE LÄN</t>
        </is>
      </c>
      <c r="G211" t="inlineStr">
        <is>
          <t>KLIPPAN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46289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46289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45785</v>
      </c>
      <c r="E214" s="1" t="n">
        <v>46289</v>
      </c>
      <c r="F214" t="inlineStr">
        <is>
          <t>SKÅNE LÄN</t>
        </is>
      </c>
      <c r="G214" t="inlineStr">
        <is>
          <t>KLIPPAN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45328</v>
      </c>
      <c r="E215" s="1" t="n">
        <v>46289</v>
      </c>
      <c r="F215" t="inlineStr">
        <is>
          <t>SKÅNE LÄN</t>
        </is>
      </c>
      <c r="G215" t="inlineStr">
        <is>
          <t>KLIPPAN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44944</v>
      </c>
      <c r="E216" s="1" t="n">
        <v>46289</v>
      </c>
      <c r="F216" t="inlineStr">
        <is>
          <t>SKÅNE LÄN</t>
        </is>
      </c>
      <c r="G216" t="inlineStr">
        <is>
          <t>KLIPPAN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46289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46289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46289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45523</v>
      </c>
      <c r="E220" s="1" t="n">
        <v>46289</v>
      </c>
      <c r="F220" t="inlineStr">
        <is>
          <t>SKÅNE LÄN</t>
        </is>
      </c>
      <c r="G220" t="inlineStr">
        <is>
          <t>KLIPPAN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46289</v>
      </c>
      <c r="F221" t="inlineStr">
        <is>
          <t>SKÅNE LÄN</t>
        </is>
      </c>
      <c r="G221" t="inlineStr">
        <is>
          <t>KLIPPAN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46289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46289</v>
      </c>
      <c r="F223" t="inlineStr">
        <is>
          <t>SKÅNE LÄN</t>
        </is>
      </c>
      <c r="G223" t="inlineStr">
        <is>
          <t>KLIPPAN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45399</v>
      </c>
      <c r="E224" s="1" t="n">
        <v>46289</v>
      </c>
      <c r="F224" t="inlineStr">
        <is>
          <t>SKÅNE LÄN</t>
        </is>
      </c>
      <c r="G224" t="inlineStr">
        <is>
          <t>KLIPPAN</t>
        </is>
      </c>
      <c r="H224" t="inlineStr">
        <is>
          <t>Övriga Aktiebolag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45751</v>
      </c>
      <c r="E225" s="1" t="n">
        <v>46289</v>
      </c>
      <c r="F225" t="inlineStr">
        <is>
          <t>SKÅNE LÄN</t>
        </is>
      </c>
      <c r="G225" t="inlineStr">
        <is>
          <t>KLIPPAN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45739</v>
      </c>
      <c r="E226" s="1" t="n">
        <v>46289</v>
      </c>
      <c r="F226" t="inlineStr">
        <is>
          <t>SKÅNE LÄN</t>
        </is>
      </c>
      <c r="G226" t="inlineStr">
        <is>
          <t>KLIPPAN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46289</v>
      </c>
      <c r="F227" t="inlineStr">
        <is>
          <t>SKÅNE LÄN</t>
        </is>
      </c>
      <c r="G227" t="inlineStr">
        <is>
          <t>KLIPPAN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45596-2024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45579</v>
      </c>
      <c r="E228" s="1" t="n">
        <v>46289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46289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46289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46289</v>
      </c>
      <c r="F231" t="inlineStr">
        <is>
          <t>SKÅNE LÄN</t>
        </is>
      </c>
      <c r="G231" t="inlineStr">
        <is>
          <t>KLIPPAN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46289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46289</v>
      </c>
      <c r="F233" t="inlineStr">
        <is>
          <t>SKÅNE LÄN</t>
        </is>
      </c>
      <c r="G233" t="inlineStr">
        <is>
          <t>KLIPPAN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46289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46289</v>
      </c>
      <c r="F235" t="inlineStr">
        <is>
          <t>SKÅNE LÄN</t>
        </is>
      </c>
      <c r="G235" t="inlineStr">
        <is>
          <t>KLIPPAN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46289</v>
      </c>
      <c r="F236" t="inlineStr">
        <is>
          <t>SKÅNE LÄN</t>
        </is>
      </c>
      <c r="G236" t="inlineStr">
        <is>
          <t>KLIPPAN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46289</v>
      </c>
      <c r="F237" t="inlineStr">
        <is>
          <t>SKÅNE LÄN</t>
        </is>
      </c>
      <c r="G237" t="inlineStr">
        <is>
          <t>KLIPPAN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46289</v>
      </c>
      <c r="F238" t="inlineStr">
        <is>
          <t>SKÅNE LÄN</t>
        </is>
      </c>
      <c r="G238" t="inlineStr">
        <is>
          <t>KLIPPAN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46289</v>
      </c>
      <c r="F239" t="inlineStr">
        <is>
          <t>SKÅNE LÄN</t>
        </is>
      </c>
      <c r="G239" t="inlineStr">
        <is>
          <t>KLIPPAN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46289</v>
      </c>
      <c r="F240" t="inlineStr">
        <is>
          <t>SKÅNE LÄN</t>
        </is>
      </c>
      <c r="G240" t="inlineStr">
        <is>
          <t>KLIPPAN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46289</v>
      </c>
      <c r="F241" t="inlineStr">
        <is>
          <t>SKÅNE LÄN</t>
        </is>
      </c>
      <c r="G241" t="inlineStr">
        <is>
          <t>KLIPPAN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46289</v>
      </c>
      <c r="F242" t="inlineStr">
        <is>
          <t>SKÅNE LÄN</t>
        </is>
      </c>
      <c r="G242" t="inlineStr">
        <is>
          <t>KLIPPAN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46289</v>
      </c>
      <c r="F243" t="inlineStr">
        <is>
          <t>SKÅNE LÄN</t>
        </is>
      </c>
      <c r="G243" t="inlineStr">
        <is>
          <t>KLIPPAN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46289</v>
      </c>
      <c r="F244" t="inlineStr">
        <is>
          <t>SKÅNE LÄN</t>
        </is>
      </c>
      <c r="G244" t="inlineStr">
        <is>
          <t>KLIPPAN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46289</v>
      </c>
      <c r="F245" t="inlineStr">
        <is>
          <t>SKÅNE LÄN</t>
        </is>
      </c>
      <c r="G245" t="inlineStr">
        <is>
          <t>KLIPPAN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46289</v>
      </c>
      <c r="F246" t="inlineStr">
        <is>
          <t>SKÅNE LÄN</t>
        </is>
      </c>
      <c r="G246" t="inlineStr">
        <is>
          <t>KLIPPAN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46289</v>
      </c>
      <c r="F247" t="inlineStr">
        <is>
          <t>SKÅNE LÄN</t>
        </is>
      </c>
      <c r="G247" t="inlineStr">
        <is>
          <t>KLIPPAN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46289</v>
      </c>
      <c r="F248" t="inlineStr">
        <is>
          <t>SKÅNE LÄN</t>
        </is>
      </c>
      <c r="G248" t="inlineStr">
        <is>
          <t>KLIPPAN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46289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10.9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46289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46289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46289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46251</v>
      </c>
      <c r="E253" s="1" t="n">
        <v>46289</v>
      </c>
      <c r="F253" t="inlineStr">
        <is>
          <t>SKÅNE LÄN</t>
        </is>
      </c>
      <c r="G253" t="inlineStr">
        <is>
          <t>KLIPPAN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46289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46289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46253</v>
      </c>
      <c r="E256" s="1" t="n">
        <v>46289</v>
      </c>
      <c r="F256" t="inlineStr">
        <is>
          <t>SKÅNE LÄN</t>
        </is>
      </c>
      <c r="G256" t="inlineStr">
        <is>
          <t>KLIPPAN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46289</v>
      </c>
      <c r="F257" t="inlineStr">
        <is>
          <t>SKÅNE LÄN</t>
        </is>
      </c>
      <c r="G257" t="inlineStr">
        <is>
          <t>KLIPPAN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46289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46216</v>
      </c>
      <c r="E259" s="1" t="n">
        <v>46289</v>
      </c>
      <c r="F259" t="inlineStr">
        <is>
          <t>SKÅNE LÄN</t>
        </is>
      </c>
      <c r="G259" t="inlineStr">
        <is>
          <t>KLIPPAN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46216</v>
      </c>
      <c r="E260" s="1" t="n">
        <v>46289</v>
      </c>
      <c r="F260" t="inlineStr">
        <is>
          <t>SKÅNE LÄN</t>
        </is>
      </c>
      <c r="G260" t="inlineStr">
        <is>
          <t>KLIPPAN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46289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46289</v>
      </c>
      <c r="F262" t="inlineStr">
        <is>
          <t>SKÅNE LÄN</t>
        </is>
      </c>
      <c r="G262" t="inlineStr">
        <is>
          <t>KLIPPAN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46269</v>
      </c>
      <c r="E263" s="1" t="n">
        <v>46289</v>
      </c>
      <c r="F263" t="inlineStr">
        <is>
          <t>SKÅNE LÄN</t>
        </is>
      </c>
      <c r="G263" t="inlineStr">
        <is>
          <t>KLIPPAN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46269</v>
      </c>
      <c r="E264" s="1" t="n">
        <v>46289</v>
      </c>
      <c r="F264" t="inlineStr">
        <is>
          <t>SKÅNE LÄN</t>
        </is>
      </c>
      <c r="G264" t="inlineStr">
        <is>
          <t>KLIPPAN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46289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46289</v>
      </c>
      <c r="F266" t="inlineStr">
        <is>
          <t>SKÅNE LÄN</t>
        </is>
      </c>
      <c r="G266" t="inlineStr">
        <is>
          <t>KLIPPAN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20082-2026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46289</v>
      </c>
      <c r="F267" t="inlineStr">
        <is>
          <t>SKÅNE LÄN</t>
        </is>
      </c>
      <c r="G267" t="inlineStr">
        <is>
          <t>KLIPPAN</t>
        </is>
      </c>
      <c r="H267" t="inlineStr">
        <is>
          <t>Sveaskog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46289</v>
      </c>
      <c r="F268" t="inlineStr">
        <is>
          <t>SKÅNE LÄN</t>
        </is>
      </c>
      <c r="G268" t="inlineStr">
        <is>
          <t>KLIPPAN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46289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46281</v>
      </c>
      <c r="E270" s="1" t="n">
        <v>46289</v>
      </c>
      <c r="F270" t="inlineStr">
        <is>
          <t>SKÅNE LÄN</t>
        </is>
      </c>
      <c r="G270" t="inlineStr">
        <is>
          <t>KLIPPAN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704-2022</t>
        </is>
      </c>
      <c r="B271" t="inlineStr">
        <is>
          <t>samrådsanmälan</t>
        </is>
      </c>
      <c r="C271" t="inlineStr">
        <is>
          <t>Skogsbilväg</t>
        </is>
      </c>
      <c r="D271" s="1" t="n">
        <v>44599</v>
      </c>
      <c r="E271" s="1" t="n">
        <v>46289</v>
      </c>
      <c r="F271" t="inlineStr">
        <is>
          <t>SKÅNE LÄN</t>
        </is>
      </c>
      <c r="G271" t="inlineStr">
        <is>
          <t>KLIPPAN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2678-2022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44701</v>
      </c>
      <c r="E272" s="1" t="n">
        <v>46289</v>
      </c>
      <c r="F272" t="inlineStr">
        <is>
          <t>SKÅNE LÄN</t>
        </is>
      </c>
      <c r="G272" t="inlineStr">
        <is>
          <t>KLIPPAN</t>
        </is>
      </c>
      <c r="I272" t="n">
        <v>15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2690-2022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46289</v>
      </c>
      <c r="F273" t="inlineStr">
        <is>
          <t>SKÅNE LÄN</t>
        </is>
      </c>
      <c r="G273" t="inlineStr">
        <is>
          <t>KLIPPAN</t>
        </is>
      </c>
      <c r="I273" t="n">
        <v>16.3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3541-2023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45209</v>
      </c>
      <c r="E274" s="1" t="n">
        <v>46289</v>
      </c>
      <c r="F274" t="inlineStr">
        <is>
          <t>SKÅNE LÄN</t>
        </is>
      </c>
      <c r="G274" t="inlineStr">
        <is>
          <t>KLIPPAN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5970-2022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44858</v>
      </c>
      <c r="E275" s="1" t="n">
        <v>46289</v>
      </c>
      <c r="F275" t="inlineStr">
        <is>
          <t>SKÅNE LÄN</t>
        </is>
      </c>
      <c r="G275" t="inlineStr">
        <is>
          <t>KLIPPAN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116-2023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46289</v>
      </c>
      <c r="F276" t="inlineStr">
        <is>
          <t>SKÅNE LÄN</t>
        </is>
      </c>
      <c r="G276" t="inlineStr">
        <is>
          <t>KLIPPAN</t>
        </is>
      </c>
      <c r="I276" t="n">
        <v>51.8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525-2024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45348</v>
      </c>
      <c r="E277" s="1" t="n">
        <v>46289</v>
      </c>
      <c r="F277" t="inlineStr">
        <is>
          <t>SKÅNE LÄN</t>
        </is>
      </c>
      <c r="G277" t="inlineStr">
        <is>
          <t>KLIPPAN</t>
        </is>
      </c>
      <c r="I277" t="n">
        <v>22.3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46289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1713-2024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46289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12.3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3796-2024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46289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3804-2024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46289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46289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29.5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110-2023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44936</v>
      </c>
      <c r="E283" s="1" t="n">
        <v>46289</v>
      </c>
      <c r="F283" t="inlineStr">
        <is>
          <t>SKÅNE LÄN</t>
        </is>
      </c>
      <c r="G283" t="inlineStr">
        <is>
          <t>KLIPPAN</t>
        </is>
      </c>
      <c r="I283" t="n">
        <v>26.9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4865-2022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44805</v>
      </c>
      <c r="E284" s="1" t="n">
        <v>46289</v>
      </c>
      <c r="F284" t="inlineStr">
        <is>
          <t>SKÅNE LÄN</t>
        </is>
      </c>
      <c r="G284" t="inlineStr">
        <is>
          <t>KLIPPAN</t>
        </is>
      </c>
      <c r="I284" t="n">
        <v>29.1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3792-2024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46289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2225-2023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45109</v>
      </c>
      <c r="E286" s="1" t="n">
        <v>46289</v>
      </c>
      <c r="F286" t="inlineStr">
        <is>
          <t>SKÅNE LÄN</t>
        </is>
      </c>
      <c r="G286" t="inlineStr">
        <is>
          <t>KLIPPAN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5892-2022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44853</v>
      </c>
      <c r="E287" s="1" t="n">
        <v>46289</v>
      </c>
      <c r="F287" t="inlineStr">
        <is>
          <t>SKÅNE LÄN</t>
        </is>
      </c>
      <c r="G287" t="inlineStr">
        <is>
          <t>KLIPPAN</t>
        </is>
      </c>
      <c r="I287" t="n">
        <v>24.6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5986-2022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44859</v>
      </c>
      <c r="E288" s="1" t="n">
        <v>46289</v>
      </c>
      <c r="F288" t="inlineStr">
        <is>
          <t>SKÅNE LÄN</t>
        </is>
      </c>
      <c r="G288" t="inlineStr">
        <is>
          <t>KLIPPAN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4186-2024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45579</v>
      </c>
      <c r="E289" s="1" t="n">
        <v>46289</v>
      </c>
      <c r="F289" t="inlineStr">
        <is>
          <t>SKÅNE LÄN</t>
        </is>
      </c>
      <c r="G289" t="inlineStr">
        <is>
          <t>KLIPPAN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3806-2024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45558</v>
      </c>
      <c r="E290" s="1" t="n">
        <v>46289</v>
      </c>
      <c r="F290" t="inlineStr">
        <is>
          <t>SKÅNE LÄN</t>
        </is>
      </c>
      <c r="G290" t="inlineStr">
        <is>
          <t>KLIPPAN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1606-2025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45798</v>
      </c>
      <c r="E291" s="1" t="n">
        <v>46289</v>
      </c>
      <c r="F291" t="inlineStr">
        <is>
          <t>SKÅNE LÄN</t>
        </is>
      </c>
      <c r="G291" t="inlineStr">
        <is>
          <t>KLIPPAN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45947</v>
      </c>
      <c r="E292" s="1" t="n">
        <v>46289</v>
      </c>
      <c r="F292" t="inlineStr">
        <is>
          <t>SKÅNE LÄN</t>
        </is>
      </c>
      <c r="G292" t="inlineStr">
        <is>
          <t>KLIPPAN</t>
        </is>
      </c>
      <c r="I292" t="n">
        <v>48.2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46034</v>
      </c>
      <c r="E293" s="1" t="n">
        <v>46289</v>
      </c>
      <c r="F293" t="inlineStr">
        <is>
          <t>SKÅNE LÄN</t>
        </is>
      </c>
      <c r="G293" t="inlineStr">
        <is>
          <t>KLIPPAN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166-2026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46044</v>
      </c>
      <c r="E294" s="1" t="n">
        <v>46289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2022-2026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46289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2019-2026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46289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20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2020-2026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46289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30.3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2026-09-24T01:54:30Z</dcterms:created>
  <dcterms:modified xmlns:dcterms="http://purl.org/dc/terms/" xmlns:xsi="http://www.w3.org/2001/XMLSchema-instance" xsi:type="dcterms:W3CDTF">2026-09-24T01:54:30Z</dcterms:modified>
</cp:coreProperties>
</file>