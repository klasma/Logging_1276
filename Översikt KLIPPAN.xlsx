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46294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46294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46294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46294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46294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46294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46294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46294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46294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46294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46294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46294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46294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46294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46294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46294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46294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46294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46294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46294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46294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46294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46294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46294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46294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46294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46294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46294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46294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46294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46294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46294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46294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46294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46294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15810-2024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46294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HYPERLINK("https://klasma.github.io/Logging_1276/artfynd/A 15810-2024 artfynd.xlsx", "A 15810-2024")</f>
        <v/>
      </c>
      <c r="X39">
        <f>HYPERLINK("https://klasma.github.io/Logging_1276/kartor/A 15810-2024 karta.png", "A 15810-2024")</f>
        <v/>
      </c>
      <c r="Y39">
        <f>HYPERLINK("https://klasma.github.io/Logging_1276/kartor_geotiff/A 15810-2024 georefererad karta.tif", "A 15810-2024")</f>
        <v/>
      </c>
      <c r="AA39">
        <f>HYPERLINK("https://klasma.github.io/Logging_1276/klagomål/A 15810-2024 FSC-klagomål.docx", "A 15810-2024")</f>
        <v/>
      </c>
      <c r="AB39">
        <f>HYPERLINK("https://klasma.github.io/Logging_1276/klagomålsmail/A 15810-2024 FSC-klagomål mail.docx", "A 15810-2024")</f>
        <v/>
      </c>
      <c r="AC39">
        <f>HYPERLINK("https://klasma.github.io/Logging_1276/tillsyn/A 15810-2024 tillsynsbegäran.docx", "A 15810-2024")</f>
        <v/>
      </c>
      <c r="AD39">
        <f>HYPERLINK("https://klasma.github.io/Logging_1276/tillsynsmail/A 15810-2024 tillsynsbegäran mail.docx", "A 15810-2024")</f>
        <v/>
      </c>
    </row>
    <row r="40" ht="15" customHeight="1">
      <c r="A40" t="inlineStr">
        <is>
          <t>A 44885-2022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46294</v>
      </c>
      <c r="F40" t="inlineStr">
        <is>
          <t>SKÅNE LÄN</t>
        </is>
      </c>
      <c r="G40" t="inlineStr">
        <is>
          <t>KLIPPAN</t>
        </is>
      </c>
      <c r="I40" t="n">
        <v>1.7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HYPERLINK("https://klasma.github.io/Logging_1276/artfynd/A 44885-2022 artfynd.xlsx", "A 44885-2022")</f>
        <v/>
      </c>
      <c r="X40">
        <f>HYPERLINK("https://klasma.github.io/Logging_1276/kartor/A 44885-2022 karta.png", "A 44885-2022")</f>
        <v/>
      </c>
      <c r="Y40">
        <f>HYPERLINK("https://klasma.github.io/Logging_1276/kartor_geotiff/A 44885-2022 georefererad karta.tif", "A 44885-2022")</f>
        <v/>
      </c>
      <c r="AA40">
        <f>HYPERLINK("https://klasma.github.io/Logging_1276/klagomål/A 44885-2022 FSC-klagomål.docx", "A 44885-2022")</f>
        <v/>
      </c>
      <c r="AB40">
        <f>HYPERLINK("https://klasma.github.io/Logging_1276/klagomålsmail/A 44885-2022 FSC-klagomål mail.docx", "A 44885-2022")</f>
        <v/>
      </c>
      <c r="AC40">
        <f>HYPERLINK("https://klasma.github.io/Logging_1276/tillsyn/A 44885-2022 tillsynsbegäran.docx", "A 44885-2022")</f>
        <v/>
      </c>
      <c r="AD40">
        <f>HYPERLINK("https://klasma.github.io/Logging_1276/tillsynsmail/A 44885-2022 tillsynsbegäran mail.docx", "A 44885-2022")</f>
        <v/>
      </c>
    </row>
    <row r="41" ht="15" customHeight="1">
      <c r="A41" t="inlineStr">
        <is>
          <t>A 21788-2026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46294</v>
      </c>
      <c r="F41" t="inlineStr">
        <is>
          <t>SKÅNE LÄN</t>
        </is>
      </c>
      <c r="G41" t="inlineStr">
        <is>
          <t>KLIPPAN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Bäckbräsma</t>
        </is>
      </c>
      <c r="W41">
        <f>HYPERLINK("https://klasma.github.io/Logging_1276/artfynd/A 21788-2026 artfynd.xlsx", "A 21788-2026")</f>
        <v/>
      </c>
      <c r="X41">
        <f>HYPERLINK("https://klasma.github.io/Logging_1276/kartor/A 21788-2026 karta.png", "A 21788-2026")</f>
        <v/>
      </c>
      <c r="Y41">
        <f>HYPERLINK("https://klasma.github.io/Logging_1276/kartor_geotiff/A 21788-2026 georefererad karta.tif", "A 21788-2026")</f>
        <v/>
      </c>
      <c r="AA41">
        <f>HYPERLINK("https://klasma.github.io/Logging_1276/klagomål/A 21788-2026 FSC-klagomål.docx", "A 21788-2026")</f>
        <v/>
      </c>
      <c r="AB41">
        <f>HYPERLINK("https://klasma.github.io/Logging_1276/klagomålsmail/A 21788-2026 FSC-klagomål mail.docx", "A 21788-2026")</f>
        <v/>
      </c>
      <c r="AC41">
        <f>HYPERLINK("https://klasma.github.io/Logging_1276/tillsyn/A 21788-2026 tillsynsbegäran.docx", "A 21788-2026")</f>
        <v/>
      </c>
      <c r="AD41">
        <f>HYPERLINK("https://klasma.github.io/Logging_1276/tillsynsmail/A 21788-2026 tillsynsbegäran mail.docx", "A 21788-2026")</f>
        <v/>
      </c>
    </row>
    <row r="42" ht="15" customHeight="1">
      <c r="A42" t="inlineStr">
        <is>
          <t>A 46147-2022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46294</v>
      </c>
      <c r="F42" t="inlineStr">
        <is>
          <t>SKÅNE LÄN</t>
        </is>
      </c>
      <c r="G42" t="inlineStr">
        <is>
          <t>KLIPPAN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Västlig hakmossa</t>
        </is>
      </c>
      <c r="W42">
        <f>HYPERLINK("https://klasma.github.io/Logging_1276/artfynd/A 46147-2022 artfynd.xlsx", "A 46147-2022")</f>
        <v/>
      </c>
      <c r="X42">
        <f>HYPERLINK("https://klasma.github.io/Logging_1276/kartor/A 46147-2022 karta.png", "A 46147-2022")</f>
        <v/>
      </c>
      <c r="Y42">
        <f>HYPERLINK("https://klasma.github.io/Logging_1276/kartor_geotiff/A 46147-2022 georefererad karta.tif", "A 46147-2022")</f>
        <v/>
      </c>
      <c r="AA42">
        <f>HYPERLINK("https://klasma.github.io/Logging_1276/klagomål/A 46147-2022 FSC-klagomål.docx", "A 46147-2022")</f>
        <v/>
      </c>
      <c r="AB42">
        <f>HYPERLINK("https://klasma.github.io/Logging_1276/klagomålsmail/A 46147-2022 FSC-klagomål mail.docx", "A 46147-2022")</f>
        <v/>
      </c>
      <c r="AC42">
        <f>HYPERLINK("https://klasma.github.io/Logging_1276/tillsyn/A 46147-2022 tillsynsbegäran.docx", "A 46147-2022")</f>
        <v/>
      </c>
      <c r="AD42">
        <f>HYPERLINK("https://klasma.github.io/Logging_1276/tillsynsmail/A 46147-2022 tillsynsbegäran mail.docx", "A 46147-2022")</f>
        <v/>
      </c>
    </row>
    <row r="43" ht="15" customHeight="1">
      <c r="A43" t="inlineStr">
        <is>
          <t>A 31279-2026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46294</v>
      </c>
      <c r="F43" t="inlineStr">
        <is>
          <t>SKÅNE LÄN</t>
        </is>
      </c>
      <c r="G43" t="inlineStr">
        <is>
          <t>KLIPPAN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31279-2026 artfynd.xlsx", "A 31279-2026")</f>
        <v/>
      </c>
      <c r="X43">
        <f>HYPERLINK("https://klasma.github.io/Logging_1276/kartor/A 31279-2026 karta.png", "A 31279-2026")</f>
        <v/>
      </c>
      <c r="Y43">
        <f>HYPERLINK("https://klasma.github.io/Logging_1276/kartor_geotiff/A 31279-2026 georefererad karta.tif", "A 31279-2026")</f>
        <v/>
      </c>
      <c r="AA43">
        <f>HYPERLINK("https://klasma.github.io/Logging_1276/klagomål/A 31279-2026 FSC-klagomål.docx", "A 31279-2026")</f>
        <v/>
      </c>
      <c r="AB43">
        <f>HYPERLINK("https://klasma.github.io/Logging_1276/klagomålsmail/A 31279-2026 FSC-klagomål mail.docx", "A 31279-2026")</f>
        <v/>
      </c>
      <c r="AC43">
        <f>HYPERLINK("https://klasma.github.io/Logging_1276/tillsyn/A 31279-2026 tillsynsbegäran.docx", "A 31279-2026")</f>
        <v/>
      </c>
      <c r="AD43">
        <f>HYPERLINK("https://klasma.github.io/Logging_1276/tillsynsmail/A 31279-2026 tillsynsbegäran mail.docx", "A 31279-2026")</f>
        <v/>
      </c>
    </row>
    <row r="44" ht="15" customHeight="1">
      <c r="A44" t="inlineStr">
        <is>
          <t>A 10000-2025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46294</v>
      </c>
      <c r="F44" t="inlineStr">
        <is>
          <t>SKÅNE LÄN</t>
        </is>
      </c>
      <c r="G44" t="inlineStr">
        <is>
          <t>KLIPPAN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10000-2025 artfynd.xlsx", "A 10000-2025")</f>
        <v/>
      </c>
      <c r="X44">
        <f>HYPERLINK("https://klasma.github.io/Logging_1276/kartor/A 10000-2025 karta.png", "A 10000-2025")</f>
        <v/>
      </c>
      <c r="Y44">
        <f>HYPERLINK("https://klasma.github.io/Logging_1276/kartor_geotiff/A 10000-2025 georefererad karta.tif", "A 10000-2025")</f>
        <v/>
      </c>
      <c r="AA44">
        <f>HYPERLINK("https://klasma.github.io/Logging_1276/klagomål/A 10000-2025 FSC-klagomål.docx", "A 10000-2025")</f>
        <v/>
      </c>
      <c r="AB44">
        <f>HYPERLINK("https://klasma.github.io/Logging_1276/klagomålsmail/A 10000-2025 FSC-klagomål mail.docx", "A 10000-2025")</f>
        <v/>
      </c>
      <c r="AC44">
        <f>HYPERLINK("https://klasma.github.io/Logging_1276/tillsyn/A 10000-2025 tillsynsbegäran.docx", "A 10000-2025")</f>
        <v/>
      </c>
      <c r="AD44">
        <f>HYPERLINK("https://klasma.github.io/Logging_1276/tillsynsmail/A 10000-2025 tillsynsbegäran mail.docx", "A 10000-2025")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46294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46294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46294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46294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46294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46294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46294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46294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46294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46294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46294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46294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46294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46294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46294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46294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46294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46294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46294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46294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46294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46294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46294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46294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46294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46294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46294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45523</v>
      </c>
      <c r="E72" s="1" t="n">
        <v>46294</v>
      </c>
      <c r="F72" t="inlineStr">
        <is>
          <t>SKÅNE LÄN</t>
        </is>
      </c>
      <c r="G72" t="inlineStr">
        <is>
          <t>KLIPPAN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46294</v>
      </c>
      <c r="F73" t="inlineStr">
        <is>
          <t>SKÅNE LÄN</t>
        </is>
      </c>
      <c r="G73" t="inlineStr">
        <is>
          <t>KLIPPAN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45079</v>
      </c>
      <c r="E74" s="1" t="n">
        <v>46294</v>
      </c>
      <c r="F74" t="inlineStr">
        <is>
          <t>SKÅNE LÄN</t>
        </is>
      </c>
      <c r="G74" t="inlineStr">
        <is>
          <t>KLIPPAN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53868-2022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46294</v>
      </c>
      <c r="F75" t="inlineStr">
        <is>
          <t>SKÅNE LÄN</t>
        </is>
      </c>
      <c r="G75" t="inlineStr">
        <is>
          <t>KLIPPAN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45660</v>
      </c>
      <c r="E76" s="1" t="n">
        <v>46294</v>
      </c>
      <c r="F76" t="inlineStr">
        <is>
          <t>SKÅNE LÄN</t>
        </is>
      </c>
      <c r="G76" t="inlineStr">
        <is>
          <t>KLIPPAN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46294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55613-2022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46294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46294</v>
      </c>
      <c r="F79" t="inlineStr">
        <is>
          <t>SKÅNE LÄN</t>
        </is>
      </c>
      <c r="G79" t="inlineStr">
        <is>
          <t>KLIPPAN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28844-2023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45104</v>
      </c>
      <c r="E80" s="1" t="n">
        <v>46294</v>
      </c>
      <c r="F80" t="inlineStr">
        <is>
          <t>SKÅNE LÄN</t>
        </is>
      </c>
      <c r="G80" t="inlineStr">
        <is>
          <t>KLIPPAN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46294</v>
      </c>
      <c r="F81" t="inlineStr">
        <is>
          <t>SKÅNE LÄN</t>
        </is>
      </c>
      <c r="G81" t="inlineStr">
        <is>
          <t>KLIPPAN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44930</v>
      </c>
      <c r="E82" s="1" t="n">
        <v>46294</v>
      </c>
      <c r="F82" t="inlineStr">
        <is>
          <t>SKÅNE LÄN</t>
        </is>
      </c>
      <c r="G82" t="inlineStr">
        <is>
          <t>KLIPPAN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45519</v>
      </c>
      <c r="E83" s="1" t="n">
        <v>46294</v>
      </c>
      <c r="F83" t="inlineStr">
        <is>
          <t>SKÅNE LÄN</t>
        </is>
      </c>
      <c r="G83" t="inlineStr">
        <is>
          <t>KLIPPAN</t>
        </is>
      </c>
      <c r="H83" t="inlineStr">
        <is>
          <t>Sveaskog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45573</v>
      </c>
      <c r="E84" s="1" t="n">
        <v>46294</v>
      </c>
      <c r="F84" t="inlineStr">
        <is>
          <t>SKÅNE LÄN</t>
        </is>
      </c>
      <c r="G84" t="inlineStr">
        <is>
          <t>KLIPPAN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46294</v>
      </c>
      <c r="F85" t="inlineStr">
        <is>
          <t>SKÅNE LÄN</t>
        </is>
      </c>
      <c r="G85" t="inlineStr">
        <is>
          <t>KLIPPAN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44531</v>
      </c>
      <c r="E86" s="1" t="n">
        <v>46294</v>
      </c>
      <c r="F86" t="inlineStr">
        <is>
          <t>SKÅNE LÄN</t>
        </is>
      </c>
      <c r="G86" t="inlineStr">
        <is>
          <t>KLIPPAN</t>
        </is>
      </c>
      <c r="H86" t="inlineStr">
        <is>
          <t>Övriga Aktiebolag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45328</v>
      </c>
      <c r="E87" s="1" t="n">
        <v>46294</v>
      </c>
      <c r="F87" t="inlineStr">
        <is>
          <t>SKÅNE LÄN</t>
        </is>
      </c>
      <c r="G87" t="inlineStr">
        <is>
          <t>KLIPPAN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44838</v>
      </c>
      <c r="E88" s="1" t="n">
        <v>46294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45399</v>
      </c>
      <c r="E89" s="1" t="n">
        <v>46294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46294</v>
      </c>
      <c r="F90" t="inlineStr">
        <is>
          <t>SKÅNE LÄN</t>
        </is>
      </c>
      <c r="G90" t="inlineStr">
        <is>
          <t>KLIPPAN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46294</v>
      </c>
      <c r="F91" t="inlineStr">
        <is>
          <t>SKÅNE LÄN</t>
        </is>
      </c>
      <c r="G91" t="inlineStr">
        <is>
          <t>KLIPPAN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45163</v>
      </c>
      <c r="E92" s="1" t="n">
        <v>46294</v>
      </c>
      <c r="F92" t="inlineStr">
        <is>
          <t>SKÅNE LÄN</t>
        </is>
      </c>
      <c r="G92" t="inlineStr">
        <is>
          <t>KLIPPAN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46294</v>
      </c>
      <c r="F93" t="inlineStr">
        <is>
          <t>SKÅNE LÄN</t>
        </is>
      </c>
      <c r="G93" t="inlineStr">
        <is>
          <t>KLIPPAN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58642-2021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46294</v>
      </c>
      <c r="F94" t="inlineStr">
        <is>
          <t>SKÅNE LÄN</t>
        </is>
      </c>
      <c r="G94" t="inlineStr">
        <is>
          <t>KLIPPAN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27898-2025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46294</v>
      </c>
      <c r="F95" t="inlineStr">
        <is>
          <t>SKÅNE LÄN</t>
        </is>
      </c>
      <c r="G95" t="inlineStr">
        <is>
          <t>KLIPPAN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46294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46294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46294</v>
      </c>
      <c r="F98" t="inlineStr">
        <is>
          <t>SKÅNE LÄN</t>
        </is>
      </c>
      <c r="G98" t="inlineStr">
        <is>
          <t>KLIPPAN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46294</v>
      </c>
      <c r="F99" t="inlineStr">
        <is>
          <t>SKÅNE LÄN</t>
        </is>
      </c>
      <c r="G99" t="inlineStr">
        <is>
          <t>KLIPPAN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46294</v>
      </c>
      <c r="F100" t="inlineStr">
        <is>
          <t>SKÅNE LÄN</t>
        </is>
      </c>
      <c r="G100" t="inlineStr">
        <is>
          <t>KLIPPAN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46294</v>
      </c>
      <c r="F101" t="inlineStr">
        <is>
          <t>SKÅNE LÄN</t>
        </is>
      </c>
      <c r="G101" t="inlineStr">
        <is>
          <t>KLIPPAN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45824</v>
      </c>
      <c r="E102" s="1" t="n">
        <v>46294</v>
      </c>
      <c r="F102" t="inlineStr">
        <is>
          <t>SKÅNE LÄN</t>
        </is>
      </c>
      <c r="G102" t="inlineStr">
        <is>
          <t>KLIPPAN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46294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46294</v>
      </c>
      <c r="F104" t="inlineStr">
        <is>
          <t>SKÅNE LÄN</t>
        </is>
      </c>
      <c r="G104" t="inlineStr">
        <is>
          <t>KLIPPAN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46294</v>
      </c>
      <c r="F105" t="inlineStr">
        <is>
          <t>SKÅNE LÄN</t>
        </is>
      </c>
      <c r="G105" t="inlineStr">
        <is>
          <t>KLIPPAN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46294</v>
      </c>
      <c r="F106" t="inlineStr">
        <is>
          <t>SKÅNE LÄN</t>
        </is>
      </c>
      <c r="G106" t="inlineStr">
        <is>
          <t>KLIPPAN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46294</v>
      </c>
      <c r="F107" t="inlineStr">
        <is>
          <t>SKÅNE LÄN</t>
        </is>
      </c>
      <c r="G107" t="inlineStr">
        <is>
          <t>KLIPPAN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60791-2023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46294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46027</v>
      </c>
      <c r="E109" s="1" t="n">
        <v>46294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45077</v>
      </c>
      <c r="E110" s="1" t="n">
        <v>46294</v>
      </c>
      <c r="F110" t="inlineStr">
        <is>
          <t>SKÅNE LÄN</t>
        </is>
      </c>
      <c r="G110" t="inlineStr">
        <is>
          <t>KLIPPAN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46294</v>
      </c>
      <c r="F111" t="inlineStr">
        <is>
          <t>SKÅNE LÄN</t>
        </is>
      </c>
      <c r="G111" t="inlineStr">
        <is>
          <t>KLIPPAN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46294</v>
      </c>
      <c r="F112" t="inlineStr">
        <is>
          <t>SKÅNE LÄN</t>
        </is>
      </c>
      <c r="G112" t="inlineStr">
        <is>
          <t>KLIPPAN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46294</v>
      </c>
      <c r="F113" t="inlineStr">
        <is>
          <t>SKÅNE LÄN</t>
        </is>
      </c>
      <c r="G113" t="inlineStr">
        <is>
          <t>KLIPPAN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46294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46294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46294</v>
      </c>
      <c r="F116" t="inlineStr">
        <is>
          <t>SKÅNE LÄN</t>
        </is>
      </c>
      <c r="G116" t="inlineStr">
        <is>
          <t>KLIPPAN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45739</v>
      </c>
      <c r="E117" s="1" t="n">
        <v>46294</v>
      </c>
      <c r="F117" t="inlineStr">
        <is>
          <t>SKÅNE LÄN</t>
        </is>
      </c>
      <c r="G117" t="inlineStr">
        <is>
          <t>KLIPPAN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46294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46294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46294</v>
      </c>
      <c r="F120" t="inlineStr">
        <is>
          <t>SKÅNE LÄN</t>
        </is>
      </c>
      <c r="G120" t="inlineStr">
        <is>
          <t>KLIPPAN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46294</v>
      </c>
      <c r="F121" t="inlineStr">
        <is>
          <t>SKÅNE LÄN</t>
        </is>
      </c>
      <c r="G121" t="inlineStr">
        <is>
          <t>KLIPPAN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46294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46294</v>
      </c>
      <c r="F123" t="inlineStr">
        <is>
          <t>SKÅNE LÄN</t>
        </is>
      </c>
      <c r="G123" t="inlineStr">
        <is>
          <t>KLIPPAN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46294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46294</v>
      </c>
      <c r="F125" t="inlineStr">
        <is>
          <t>SKÅNE LÄN</t>
        </is>
      </c>
      <c r="G125" t="inlineStr">
        <is>
          <t>KLIPPAN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45055</v>
      </c>
      <c r="E126" s="1" t="n">
        <v>46294</v>
      </c>
      <c r="F126" t="inlineStr">
        <is>
          <t>SKÅNE LÄN</t>
        </is>
      </c>
      <c r="G126" t="inlineStr">
        <is>
          <t>KLIPPAN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46294</v>
      </c>
      <c r="F127" t="inlineStr">
        <is>
          <t>SKÅNE LÄN</t>
        </is>
      </c>
      <c r="G127" t="inlineStr">
        <is>
          <t>KLIPPAN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46294</v>
      </c>
      <c r="F128" t="inlineStr">
        <is>
          <t>SKÅNE LÄN</t>
        </is>
      </c>
      <c r="G128" t="inlineStr">
        <is>
          <t>KLIPPAN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55588-2021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46294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45224</v>
      </c>
      <c r="E130" s="1" t="n">
        <v>46294</v>
      </c>
      <c r="F130" t="inlineStr">
        <is>
          <t>SKÅNE LÄN</t>
        </is>
      </c>
      <c r="G130" t="inlineStr">
        <is>
          <t>KLIPPAN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46294</v>
      </c>
      <c r="F131" t="inlineStr">
        <is>
          <t>SKÅNE LÄN</t>
        </is>
      </c>
      <c r="G131" t="inlineStr">
        <is>
          <t>KLIPPAN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46294</v>
      </c>
      <c r="F132" t="inlineStr">
        <is>
          <t>SKÅNE LÄN</t>
        </is>
      </c>
      <c r="G132" t="inlineStr">
        <is>
          <t>KLIPPAN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24333-2022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44726</v>
      </c>
      <c r="E133" s="1" t="n">
        <v>46294</v>
      </c>
      <c r="F133" t="inlineStr">
        <is>
          <t>SKÅNE LÄN</t>
        </is>
      </c>
      <c r="G133" t="inlineStr">
        <is>
          <t>KLIPPAN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44477</v>
      </c>
      <c r="E134" s="1" t="n">
        <v>46294</v>
      </c>
      <c r="F134" t="inlineStr">
        <is>
          <t>SKÅNE LÄN</t>
        </is>
      </c>
      <c r="G134" t="inlineStr">
        <is>
          <t>KLIPPAN</t>
        </is>
      </c>
      <c r="I134" t="n">
        <v>20.9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46294</v>
      </c>
      <c r="F135" t="inlineStr">
        <is>
          <t>SKÅNE LÄN</t>
        </is>
      </c>
      <c r="G135" t="inlineStr">
        <is>
          <t>KLIPPAN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46294</v>
      </c>
      <c r="F136" t="inlineStr">
        <is>
          <t>SKÅNE LÄN</t>
        </is>
      </c>
      <c r="G136" t="inlineStr">
        <is>
          <t>KLIPPAN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46294</v>
      </c>
      <c r="F137" t="inlineStr">
        <is>
          <t>SKÅNE LÄN</t>
        </is>
      </c>
      <c r="G137" t="inlineStr">
        <is>
          <t>KLIPPAN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46294</v>
      </c>
      <c r="F138" t="inlineStr">
        <is>
          <t>SKÅNE LÄN</t>
        </is>
      </c>
      <c r="G138" t="inlineStr">
        <is>
          <t>KLIPPAN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46071</v>
      </c>
      <c r="E139" s="1" t="n">
        <v>46294</v>
      </c>
      <c r="F139" t="inlineStr">
        <is>
          <t>SKÅNE LÄN</t>
        </is>
      </c>
      <c r="G139" t="inlineStr">
        <is>
          <t>KLIPPAN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46294</v>
      </c>
      <c r="F140" t="inlineStr">
        <is>
          <t>SKÅNE LÄN</t>
        </is>
      </c>
      <c r="G140" t="inlineStr">
        <is>
          <t>KLIPPAN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55833-2023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45239</v>
      </c>
      <c r="E141" s="1" t="n">
        <v>46294</v>
      </c>
      <c r="F141" t="inlineStr">
        <is>
          <t>SKÅNE LÄN</t>
        </is>
      </c>
      <c r="G141" t="inlineStr">
        <is>
          <t>KLIPPAN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45055</v>
      </c>
      <c r="E142" s="1" t="n">
        <v>46294</v>
      </c>
      <c r="F142" t="inlineStr">
        <is>
          <t>SKÅNE LÄN</t>
        </is>
      </c>
      <c r="G142" t="inlineStr">
        <is>
          <t>KLIPPAN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46294</v>
      </c>
      <c r="F143" t="inlineStr">
        <is>
          <t>SKÅNE LÄN</t>
        </is>
      </c>
      <c r="G143" t="inlineStr">
        <is>
          <t>KLIPPAN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46294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46294</v>
      </c>
      <c r="F145" t="inlineStr">
        <is>
          <t>SKÅNE LÄN</t>
        </is>
      </c>
      <c r="G145" t="inlineStr">
        <is>
          <t>KLIPPAN</t>
        </is>
      </c>
      <c r="H145" t="inlineStr">
        <is>
          <t>Övriga Aktiebolag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45223</v>
      </c>
      <c r="E146" s="1" t="n">
        <v>46294</v>
      </c>
      <c r="F146" t="inlineStr">
        <is>
          <t>SKÅNE LÄN</t>
        </is>
      </c>
      <c r="G146" t="inlineStr">
        <is>
          <t>KLIPPAN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46294</v>
      </c>
      <c r="F147" t="inlineStr">
        <is>
          <t>SKÅNE LÄN</t>
        </is>
      </c>
      <c r="G147" t="inlineStr">
        <is>
          <t>KLIPPAN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46294</v>
      </c>
      <c r="F148" t="inlineStr">
        <is>
          <t>SKÅNE LÄN</t>
        </is>
      </c>
      <c r="G148" t="inlineStr">
        <is>
          <t>KLIPPAN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46294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46294</v>
      </c>
      <c r="F150" t="inlineStr">
        <is>
          <t>SKÅNE LÄN</t>
        </is>
      </c>
      <c r="G150" t="inlineStr">
        <is>
          <t>KLIPPAN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46728-2023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45198</v>
      </c>
      <c r="E151" s="1" t="n">
        <v>46294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46294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46294</v>
      </c>
      <c r="F153" t="inlineStr">
        <is>
          <t>SKÅNE LÄN</t>
        </is>
      </c>
      <c r="G153" t="inlineStr">
        <is>
          <t>KLIPPAN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46294</v>
      </c>
      <c r="F154" t="inlineStr">
        <is>
          <t>SKÅNE LÄN</t>
        </is>
      </c>
      <c r="G154" t="inlineStr">
        <is>
          <t>KLIPPAN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46294</v>
      </c>
      <c r="F155" t="inlineStr">
        <is>
          <t>SKÅNE LÄN</t>
        </is>
      </c>
      <c r="G155" t="inlineStr">
        <is>
          <t>KLIPPAN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44978</v>
      </c>
      <c r="E156" s="1" t="n">
        <v>46294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46294</v>
      </c>
      <c r="F157" t="inlineStr">
        <is>
          <t>SKÅNE LÄN</t>
        </is>
      </c>
      <c r="G157" t="inlineStr">
        <is>
          <t>KLIPPAN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46294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44944</v>
      </c>
      <c r="E159" s="1" t="n">
        <v>46294</v>
      </c>
      <c r="F159" t="inlineStr">
        <is>
          <t>SKÅNE LÄN</t>
        </is>
      </c>
      <c r="G159" t="inlineStr">
        <is>
          <t>KLIPPAN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46294</v>
      </c>
      <c r="F160" t="inlineStr">
        <is>
          <t>SKÅNE LÄN</t>
        </is>
      </c>
      <c r="G160" t="inlineStr">
        <is>
          <t>KLIPPAN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44616</v>
      </c>
      <c r="E161" s="1" t="n">
        <v>46294</v>
      </c>
      <c r="F161" t="inlineStr">
        <is>
          <t>SKÅNE LÄN</t>
        </is>
      </c>
      <c r="G161" t="inlineStr">
        <is>
          <t>KLIPPAN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46294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46294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46294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46294</v>
      </c>
      <c r="F165" t="inlineStr">
        <is>
          <t>SKÅNE LÄN</t>
        </is>
      </c>
      <c r="G165" t="inlineStr">
        <is>
          <t>KLIPPAN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69041-2021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44529</v>
      </c>
      <c r="E166" s="1" t="n">
        <v>46294</v>
      </c>
      <c r="F166" t="inlineStr">
        <is>
          <t>SKÅNE LÄN</t>
        </is>
      </c>
      <c r="G166" t="inlineStr">
        <is>
          <t>KLIPPAN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46294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46294</v>
      </c>
      <c r="F168" t="inlineStr">
        <is>
          <t>SKÅNE LÄN</t>
        </is>
      </c>
      <c r="G168" t="inlineStr">
        <is>
          <t>KLIPPAN</t>
        </is>
      </c>
      <c r="H168" t="inlineStr">
        <is>
          <t>Sveaskog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46294</v>
      </c>
      <c r="F169" t="inlineStr">
        <is>
          <t>SKÅNE LÄN</t>
        </is>
      </c>
      <c r="G169" t="inlineStr">
        <is>
          <t>KLIPPAN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46294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46294</v>
      </c>
      <c r="F171" t="inlineStr">
        <is>
          <t>SKÅNE LÄN</t>
        </is>
      </c>
      <c r="G171" t="inlineStr">
        <is>
          <t>KLIPPAN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55586-2021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44475</v>
      </c>
      <c r="E172" s="1" t="n">
        <v>46294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46294</v>
      </c>
      <c r="F173" t="inlineStr">
        <is>
          <t>SKÅNE LÄN</t>
        </is>
      </c>
      <c r="G173" t="inlineStr">
        <is>
          <t>KLIPPAN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46294</v>
      </c>
      <c r="F174" t="inlineStr">
        <is>
          <t>SKÅNE LÄN</t>
        </is>
      </c>
      <c r="G174" t="inlineStr">
        <is>
          <t>KLIPPAN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46294</v>
      </c>
      <c r="F175" t="inlineStr">
        <is>
          <t>SKÅNE LÄN</t>
        </is>
      </c>
      <c r="G175" t="inlineStr">
        <is>
          <t>KLIPPAN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46294</v>
      </c>
      <c r="F176" t="inlineStr">
        <is>
          <t>SKÅNE LÄN</t>
        </is>
      </c>
      <c r="G176" t="inlineStr">
        <is>
          <t>KLIPPAN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46294</v>
      </c>
      <c r="F177" t="inlineStr">
        <is>
          <t>SKÅNE LÄN</t>
        </is>
      </c>
      <c r="G177" t="inlineStr">
        <is>
          <t>KLIPPAN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46294</v>
      </c>
      <c r="F178" t="inlineStr">
        <is>
          <t>SKÅNE LÄN</t>
        </is>
      </c>
      <c r="G178" t="inlineStr">
        <is>
          <t>KLIPPAN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46294</v>
      </c>
      <c r="F179" t="inlineStr">
        <is>
          <t>SKÅNE LÄN</t>
        </is>
      </c>
      <c r="G179" t="inlineStr">
        <is>
          <t>KLIPPAN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21778-2026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46294</v>
      </c>
      <c r="F180" t="inlineStr">
        <is>
          <t>SKÅNE LÄN</t>
        </is>
      </c>
      <c r="G180" t="inlineStr">
        <is>
          <t>KLIPPAN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46294</v>
      </c>
      <c r="F181" t="inlineStr">
        <is>
          <t>SKÅNE LÄN</t>
        </is>
      </c>
      <c r="G181" t="inlineStr">
        <is>
          <t>KLIPPAN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44609</v>
      </c>
      <c r="E182" s="1" t="n">
        <v>46294</v>
      </c>
      <c r="F182" t="inlineStr">
        <is>
          <t>SKÅNE LÄN</t>
        </is>
      </c>
      <c r="G182" t="inlineStr">
        <is>
          <t>KLIPPAN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45739</v>
      </c>
      <c r="E183" s="1" t="n">
        <v>46294</v>
      </c>
      <c r="F183" t="inlineStr">
        <is>
          <t>SKÅNE LÄN</t>
        </is>
      </c>
      <c r="G183" t="inlineStr">
        <is>
          <t>KLIPPAN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46294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46294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46294</v>
      </c>
      <c r="F186" t="inlineStr">
        <is>
          <t>SKÅNE LÄN</t>
        </is>
      </c>
      <c r="G186" t="inlineStr">
        <is>
          <t>KLIPPAN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46294</v>
      </c>
      <c r="F187" t="inlineStr">
        <is>
          <t>SKÅNE LÄN</t>
        </is>
      </c>
      <c r="G187" t="inlineStr">
        <is>
          <t>KLIPPAN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45641-2022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44845</v>
      </c>
      <c r="E188" s="1" t="n">
        <v>46294</v>
      </c>
      <c r="F188" t="inlineStr">
        <is>
          <t>SKÅNE LÄN</t>
        </is>
      </c>
      <c r="G188" t="inlineStr">
        <is>
          <t>KLIPPAN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45442</v>
      </c>
      <c r="E189" s="1" t="n">
        <v>46294</v>
      </c>
      <c r="F189" t="inlineStr">
        <is>
          <t>SKÅNE LÄN</t>
        </is>
      </c>
      <c r="G189" t="inlineStr">
        <is>
          <t>KLIPPAN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46294</v>
      </c>
      <c r="F190" t="inlineStr">
        <is>
          <t>SKÅNE LÄN</t>
        </is>
      </c>
      <c r="G190" t="inlineStr">
        <is>
          <t>KLIPPAN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45013</v>
      </c>
      <c r="E191" s="1" t="n">
        <v>46294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46294</v>
      </c>
      <c r="F192" t="inlineStr">
        <is>
          <t>SKÅNE LÄN</t>
        </is>
      </c>
      <c r="G192" t="inlineStr">
        <is>
          <t>KLIPPAN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46294</v>
      </c>
      <c r="F193" t="inlineStr">
        <is>
          <t>SKÅNE LÄN</t>
        </is>
      </c>
      <c r="G193" t="inlineStr">
        <is>
          <t>KLIPPAN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46294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44993</v>
      </c>
      <c r="E195" s="1" t="n">
        <v>46294</v>
      </c>
      <c r="F195" t="inlineStr">
        <is>
          <t>SKÅNE LÄN</t>
        </is>
      </c>
      <c r="G195" t="inlineStr">
        <is>
          <t>KLIPPAN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46294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46294</v>
      </c>
      <c r="F197" t="inlineStr">
        <is>
          <t>SKÅNE LÄN</t>
        </is>
      </c>
      <c r="G197" t="inlineStr">
        <is>
          <t>KLIPPAN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46294</v>
      </c>
      <c r="F198" t="inlineStr">
        <is>
          <t>SKÅNE LÄN</t>
        </is>
      </c>
      <c r="G198" t="inlineStr">
        <is>
          <t>KLIPPAN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46294</v>
      </c>
      <c r="F199" t="inlineStr">
        <is>
          <t>SKÅNE LÄN</t>
        </is>
      </c>
      <c r="G199" t="inlineStr">
        <is>
          <t>KLIPPAN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46294</v>
      </c>
      <c r="F200" t="inlineStr">
        <is>
          <t>SKÅNE LÄN</t>
        </is>
      </c>
      <c r="G200" t="inlineStr">
        <is>
          <t>KLIPPAN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46294</v>
      </c>
      <c r="F201" t="inlineStr">
        <is>
          <t>SKÅNE LÄN</t>
        </is>
      </c>
      <c r="G201" t="inlineStr">
        <is>
          <t>KLIPPAN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46294</v>
      </c>
      <c r="F202" t="inlineStr">
        <is>
          <t>SKÅNE LÄN</t>
        </is>
      </c>
      <c r="G202" t="inlineStr">
        <is>
          <t>KLIPPAN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46294</v>
      </c>
      <c r="F203" t="inlineStr">
        <is>
          <t>SKÅNE LÄN</t>
        </is>
      </c>
      <c r="G203" t="inlineStr">
        <is>
          <t>KLIPPAN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46294</v>
      </c>
      <c r="F204" t="inlineStr">
        <is>
          <t>SKÅNE LÄN</t>
        </is>
      </c>
      <c r="G204" t="inlineStr">
        <is>
          <t>KLIPPAN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45579</v>
      </c>
      <c r="E205" s="1" t="n">
        <v>46294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46294</v>
      </c>
      <c r="F206" t="inlineStr">
        <is>
          <t>SKÅNE LÄN</t>
        </is>
      </c>
      <c r="G206" t="inlineStr">
        <is>
          <t>KLIPPAN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46294</v>
      </c>
      <c r="F207" t="inlineStr">
        <is>
          <t>SKÅNE LÄN</t>
        </is>
      </c>
      <c r="G207" t="inlineStr">
        <is>
          <t>KLIPPAN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45442</v>
      </c>
      <c r="E208" s="1" t="n">
        <v>46294</v>
      </c>
      <c r="F208" t="inlineStr">
        <is>
          <t>SKÅNE LÄN</t>
        </is>
      </c>
      <c r="G208" t="inlineStr">
        <is>
          <t>KLIPPAN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46202</v>
      </c>
      <c r="E209" s="1" t="n">
        <v>46294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46294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45055</v>
      </c>
      <c r="E211" s="1" t="n">
        <v>46294</v>
      </c>
      <c r="F211" t="inlineStr">
        <is>
          <t>SKÅNE LÄN</t>
        </is>
      </c>
      <c r="G211" t="inlineStr">
        <is>
          <t>KLIPPAN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44875</v>
      </c>
      <c r="E212" s="1" t="n">
        <v>46294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44992</v>
      </c>
      <c r="E213" s="1" t="n">
        <v>46294</v>
      </c>
      <c r="F213" t="inlineStr">
        <is>
          <t>SKÅNE LÄN</t>
        </is>
      </c>
      <c r="G213" t="inlineStr">
        <is>
          <t>KLIPPAN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64224-2023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45279</v>
      </c>
      <c r="E214" s="1" t="n">
        <v>46294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46294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46294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46206</v>
      </c>
      <c r="E217" s="1" t="n">
        <v>46294</v>
      </c>
      <c r="F217" t="inlineStr">
        <is>
          <t>SKÅNE LÄN</t>
        </is>
      </c>
      <c r="G217" t="inlineStr">
        <is>
          <t>KLIPPAN</t>
        </is>
      </c>
      <c r="H217" t="inlineStr">
        <is>
          <t>Övriga Aktiebolag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46294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46294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68856-2021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46294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46209</v>
      </c>
      <c r="E221" s="1" t="n">
        <v>46294</v>
      </c>
      <c r="F221" t="inlineStr">
        <is>
          <t>SKÅNE LÄN</t>
        </is>
      </c>
      <c r="G221" t="inlineStr">
        <is>
          <t>KLIPPAN</t>
        </is>
      </c>
      <c r="H221" t="inlineStr">
        <is>
          <t>Övriga Aktiebolag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45199</v>
      </c>
      <c r="E222" s="1" t="n">
        <v>46294</v>
      </c>
      <c r="F222" t="inlineStr">
        <is>
          <t>SKÅNE LÄN</t>
        </is>
      </c>
      <c r="G222" t="inlineStr">
        <is>
          <t>KLIPPAN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46294</v>
      </c>
      <c r="F223" t="inlineStr">
        <is>
          <t>SKÅNE LÄN</t>
        </is>
      </c>
      <c r="G223" t="inlineStr">
        <is>
          <t>KLIPPAN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30353-2026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46209</v>
      </c>
      <c r="E224" s="1" t="n">
        <v>46294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46294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44593</v>
      </c>
      <c r="E226" s="1" t="n">
        <v>46294</v>
      </c>
      <c r="F226" t="inlineStr">
        <is>
          <t>SKÅNE LÄN</t>
        </is>
      </c>
      <c r="G226" t="inlineStr">
        <is>
          <t>KLIPPAN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46294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46294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46216</v>
      </c>
      <c r="E229" s="1" t="n">
        <v>46294</v>
      </c>
      <c r="F229" t="inlineStr">
        <is>
          <t>SKÅNE LÄN</t>
        </is>
      </c>
      <c r="G229" t="inlineStr">
        <is>
          <t>KLIPPAN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46294</v>
      </c>
      <c r="F230" t="inlineStr">
        <is>
          <t>SKÅNE LÄN</t>
        </is>
      </c>
      <c r="G230" t="inlineStr">
        <is>
          <t>KLIPPAN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46294</v>
      </c>
      <c r="F231" t="inlineStr">
        <is>
          <t>SKÅNE LÄN</t>
        </is>
      </c>
      <c r="G231" t="inlineStr">
        <is>
          <t>KLIPPAN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46294</v>
      </c>
      <c r="F232" t="inlineStr">
        <is>
          <t>SKÅNE LÄN</t>
        </is>
      </c>
      <c r="G232" t="inlineStr">
        <is>
          <t>KLIPPAN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46294</v>
      </c>
      <c r="F233" t="inlineStr">
        <is>
          <t>SKÅNE LÄN</t>
        </is>
      </c>
      <c r="G233" t="inlineStr">
        <is>
          <t>KLIPPAN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46216</v>
      </c>
      <c r="E234" s="1" t="n">
        <v>46294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46216</v>
      </c>
      <c r="E235" s="1" t="n">
        <v>46294</v>
      </c>
      <c r="F235" t="inlineStr">
        <is>
          <t>SKÅNE LÄN</t>
        </is>
      </c>
      <c r="G235" t="inlineStr">
        <is>
          <t>KLIPPAN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46294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45163</v>
      </c>
      <c r="E237" s="1" t="n">
        <v>46294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46294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55587-2021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44475</v>
      </c>
      <c r="E239" s="1" t="n">
        <v>46294</v>
      </c>
      <c r="F239" t="inlineStr">
        <is>
          <t>SKÅNE LÄN</t>
        </is>
      </c>
      <c r="G239" t="inlineStr">
        <is>
          <t>KLIPPAN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46294</v>
      </c>
      <c r="F240" t="inlineStr">
        <is>
          <t>SKÅNE LÄN</t>
        </is>
      </c>
      <c r="G240" t="inlineStr">
        <is>
          <t>KLIPPAN</t>
        </is>
      </c>
      <c r="I240" t="n">
        <v>7.8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9142-2025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46294</v>
      </c>
      <c r="F241" t="inlineStr">
        <is>
          <t>SKÅNE LÄN</t>
        </is>
      </c>
      <c r="G241" t="inlineStr">
        <is>
          <t>KLIPPAN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45099</v>
      </c>
      <c r="E242" s="1" t="n">
        <v>46294</v>
      </c>
      <c r="F242" t="inlineStr">
        <is>
          <t>SKÅNE LÄN</t>
        </is>
      </c>
      <c r="G242" t="inlineStr">
        <is>
          <t>KLIPPAN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46294</v>
      </c>
      <c r="F243" t="inlineStr">
        <is>
          <t>SKÅNE LÄN</t>
        </is>
      </c>
      <c r="G243" t="inlineStr">
        <is>
          <t>KLIPPAN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46294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46265</v>
      </c>
      <c r="E245" s="1" t="n">
        <v>46294</v>
      </c>
      <c r="F245" t="inlineStr">
        <is>
          <t>SKÅNE LÄN</t>
        </is>
      </c>
      <c r="G245" t="inlineStr">
        <is>
          <t>KLIPPAN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45069</v>
      </c>
      <c r="E246" s="1" t="n">
        <v>46294</v>
      </c>
      <c r="F246" t="inlineStr">
        <is>
          <t>SKÅNE LÄN</t>
        </is>
      </c>
      <c r="G246" t="inlineStr">
        <is>
          <t>KLIPPAN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44697</v>
      </c>
      <c r="E247" s="1" t="n">
        <v>46294</v>
      </c>
      <c r="F247" t="inlineStr">
        <is>
          <t>SKÅNE LÄN</t>
        </is>
      </c>
      <c r="G247" t="inlineStr">
        <is>
          <t>KLIPPAN</t>
        </is>
      </c>
      <c r="I247" t="n">
        <v>17.2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46294</v>
      </c>
      <c r="F248" t="inlineStr">
        <is>
          <t>SKÅNE LÄN</t>
        </is>
      </c>
      <c r="G248" t="inlineStr">
        <is>
          <t>KLIPPAN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63720-2023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46294</v>
      </c>
      <c r="F249" t="inlineStr">
        <is>
          <t>SKÅNE LÄN</t>
        </is>
      </c>
      <c r="G249" t="inlineStr">
        <is>
          <t>KLIPPAN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45393</v>
      </c>
      <c r="E250" s="1" t="n">
        <v>46294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46269</v>
      </c>
      <c r="E251" s="1" t="n">
        <v>46294</v>
      </c>
      <c r="F251" t="inlineStr">
        <is>
          <t>SKÅNE LÄN</t>
        </is>
      </c>
      <c r="G251" t="inlineStr">
        <is>
          <t>KLIPPAN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46294</v>
      </c>
      <c r="F252" t="inlineStr">
        <is>
          <t>SKÅNE LÄN</t>
        </is>
      </c>
      <c r="G252" t="inlineStr">
        <is>
          <t>KLIPPAN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46210</v>
      </c>
      <c r="E253" s="1" t="n">
        <v>46294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44855</v>
      </c>
      <c r="E254" s="1" t="n">
        <v>46294</v>
      </c>
      <c r="F254" t="inlineStr">
        <is>
          <t>SKÅNE LÄN</t>
        </is>
      </c>
      <c r="G254" t="inlineStr">
        <is>
          <t>KLIPPAN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6615-2024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46294</v>
      </c>
      <c r="F255" t="inlineStr">
        <is>
          <t>SKÅNE LÄN</t>
        </is>
      </c>
      <c r="G255" t="inlineStr">
        <is>
          <t>KLIPPAN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46294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11.6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46294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46294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46294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46294</v>
      </c>
      <c r="F260" t="inlineStr">
        <is>
          <t>SKÅNE LÄN</t>
        </is>
      </c>
      <c r="G260" t="inlineStr">
        <is>
          <t>KLIPPAN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46279</v>
      </c>
      <c r="E261" s="1" t="n">
        <v>46294</v>
      </c>
      <c r="F261" t="inlineStr">
        <is>
          <t>SKÅNE LÄN</t>
        </is>
      </c>
      <c r="G261" t="inlineStr">
        <is>
          <t>KLIPPAN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46294</v>
      </c>
      <c r="F262" t="inlineStr">
        <is>
          <t>SKÅNE LÄN</t>
        </is>
      </c>
      <c r="G262" t="inlineStr">
        <is>
          <t>KLIPPAN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46294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46294</v>
      </c>
      <c r="F264" t="inlineStr">
        <is>
          <t>SKÅNE LÄN</t>
        </is>
      </c>
      <c r="G264" t="inlineStr">
        <is>
          <t>KLIPPAN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46294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45554</v>
      </c>
      <c r="E266" s="1" t="n">
        <v>46294</v>
      </c>
      <c r="F266" t="inlineStr">
        <is>
          <t>SKÅNE LÄN</t>
        </is>
      </c>
      <c r="G266" t="inlineStr">
        <is>
          <t>KLIPPAN</t>
        </is>
      </c>
      <c r="H266" t="inlineStr">
        <is>
          <t>Sveaskog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46294</v>
      </c>
      <c r="F267" t="inlineStr">
        <is>
          <t>SKÅNE LÄN</t>
        </is>
      </c>
      <c r="G267" t="inlineStr">
        <is>
          <t>KLIPPAN</t>
        </is>
      </c>
      <c r="H267" t="inlineStr">
        <is>
          <t>Övriga Aktiebolag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46286</v>
      </c>
      <c r="E268" s="1" t="n">
        <v>46294</v>
      </c>
      <c r="F268" t="inlineStr">
        <is>
          <t>SKÅNE LÄN</t>
        </is>
      </c>
      <c r="G268" t="inlineStr">
        <is>
          <t>KLIPPAN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46287</v>
      </c>
      <c r="E269" s="1" t="n">
        <v>46294</v>
      </c>
      <c r="F269" t="inlineStr">
        <is>
          <t>SKÅNE LÄN</t>
        </is>
      </c>
      <c r="G269" t="inlineStr">
        <is>
          <t>KLIPPAN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46294</v>
      </c>
      <c r="F270" t="inlineStr">
        <is>
          <t>SKÅNE LÄN</t>
        </is>
      </c>
      <c r="G270" t="inlineStr">
        <is>
          <t>KLIPPAN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46294</v>
      </c>
      <c r="F271" t="inlineStr">
        <is>
          <t>SKÅNE LÄN</t>
        </is>
      </c>
      <c r="G271" t="inlineStr">
        <is>
          <t>KLIPPAN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46294</v>
      </c>
      <c r="F272" t="inlineStr">
        <is>
          <t>SKÅNE LÄN</t>
        </is>
      </c>
      <c r="G272" t="inlineStr">
        <is>
          <t>KLIPPAN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3541-2023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45209</v>
      </c>
      <c r="E273" s="1" t="n">
        <v>46294</v>
      </c>
      <c r="F273" t="inlineStr">
        <is>
          <t>SKÅNE LÄN</t>
        </is>
      </c>
      <c r="G273" t="inlineStr">
        <is>
          <t>KLIPPAN</t>
        </is>
      </c>
      <c r="I273" t="n">
        <v>11.8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5970-2022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44858</v>
      </c>
      <c r="E274" s="1" t="n">
        <v>46294</v>
      </c>
      <c r="F274" t="inlineStr">
        <is>
          <t>SKÅNE LÄN</t>
        </is>
      </c>
      <c r="G274" t="inlineStr">
        <is>
          <t>KLIPPAN</t>
        </is>
      </c>
      <c r="I274" t="n">
        <v>10.6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116-2023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46294</v>
      </c>
      <c r="F275" t="inlineStr">
        <is>
          <t>SKÅNE LÄN</t>
        </is>
      </c>
      <c r="G275" t="inlineStr">
        <is>
          <t>KLIPPAN</t>
        </is>
      </c>
      <c r="I275" t="n">
        <v>51.8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525-2024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45348</v>
      </c>
      <c r="E276" s="1" t="n">
        <v>46294</v>
      </c>
      <c r="F276" t="inlineStr">
        <is>
          <t>SKÅNE LÄN</t>
        </is>
      </c>
      <c r="G276" t="inlineStr">
        <is>
          <t>KLIPPAN</t>
        </is>
      </c>
      <c r="I276" t="n">
        <v>22.3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1710-2024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46294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13.4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1713-2024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46294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12.3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3796-2024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46294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3804-2024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46294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704-2022</t>
        </is>
      </c>
      <c r="B281" t="inlineStr">
        <is>
          <t>samrådsanmälan</t>
        </is>
      </c>
      <c r="C281" t="inlineStr">
        <is>
          <t>Skogsbilväg</t>
        </is>
      </c>
      <c r="D281" s="1" t="n">
        <v>44599</v>
      </c>
      <c r="E281" s="1" t="n">
        <v>46294</v>
      </c>
      <c r="F281" t="inlineStr">
        <is>
          <t>SKÅNE LÄN</t>
        </is>
      </c>
      <c r="G281" t="inlineStr">
        <is>
          <t>KLIPPAN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2678-2022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44701</v>
      </c>
      <c r="E282" s="1" t="n">
        <v>46294</v>
      </c>
      <c r="F282" t="inlineStr">
        <is>
          <t>SKÅNE LÄN</t>
        </is>
      </c>
      <c r="G282" t="inlineStr">
        <is>
          <t>KLIPPAN</t>
        </is>
      </c>
      <c r="I282" t="n">
        <v>15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1716-2024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45434</v>
      </c>
      <c r="E283" s="1" t="n">
        <v>46294</v>
      </c>
      <c r="F283" t="inlineStr">
        <is>
          <t>SKÅNE LÄN</t>
        </is>
      </c>
      <c r="G283" t="inlineStr">
        <is>
          <t>KLIPPAN</t>
        </is>
      </c>
      <c r="H283" t="inlineStr">
        <is>
          <t>Övriga Aktiebolag</t>
        </is>
      </c>
      <c r="I283" t="n">
        <v>29.5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110-2023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44936</v>
      </c>
      <c r="E284" s="1" t="n">
        <v>46294</v>
      </c>
      <c r="F284" t="inlineStr">
        <is>
          <t>SKÅNE LÄN</t>
        </is>
      </c>
      <c r="G284" t="inlineStr">
        <is>
          <t>KLIPPAN</t>
        </is>
      </c>
      <c r="I284" t="n">
        <v>26.9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3792-2024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46294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2690-2022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44701</v>
      </c>
      <c r="E286" s="1" t="n">
        <v>46294</v>
      </c>
      <c r="F286" t="inlineStr">
        <is>
          <t>SKÅNE LÄN</t>
        </is>
      </c>
      <c r="G286" t="inlineStr">
        <is>
          <t>KLIPPAN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2225-2023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45109</v>
      </c>
      <c r="E287" s="1" t="n">
        <v>46294</v>
      </c>
      <c r="F287" t="inlineStr">
        <is>
          <t>SKÅNE LÄN</t>
        </is>
      </c>
      <c r="G287" t="inlineStr">
        <is>
          <t>KLIPPAN</t>
        </is>
      </c>
      <c r="I287" t="n">
        <v>15.2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5892-2022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44853</v>
      </c>
      <c r="E288" s="1" t="n">
        <v>46294</v>
      </c>
      <c r="F288" t="inlineStr">
        <is>
          <t>SKÅNE LÄN</t>
        </is>
      </c>
      <c r="G288" t="inlineStr">
        <is>
          <t>KLIPPAN</t>
        </is>
      </c>
      <c r="I288" t="n">
        <v>24.6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5986-2022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44859</v>
      </c>
      <c r="E289" s="1" t="n">
        <v>46294</v>
      </c>
      <c r="F289" t="inlineStr">
        <is>
          <t>SKÅNE LÄN</t>
        </is>
      </c>
      <c r="G289" t="inlineStr">
        <is>
          <t>KLIPPAN</t>
        </is>
      </c>
      <c r="I289" t="n">
        <v>19.6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4186-2024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45579</v>
      </c>
      <c r="E290" s="1" t="n">
        <v>46294</v>
      </c>
      <c r="F290" t="inlineStr">
        <is>
          <t>SKÅNE LÄN</t>
        </is>
      </c>
      <c r="G290" t="inlineStr">
        <is>
          <t>KLIPPAN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3806-2024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45558</v>
      </c>
      <c r="E291" s="1" t="n">
        <v>46294</v>
      </c>
      <c r="F291" t="inlineStr">
        <is>
          <t>SKÅNE LÄN</t>
        </is>
      </c>
      <c r="G291" t="inlineStr">
        <is>
          <t>KLIPPAN</t>
        </is>
      </c>
      <c r="H291" t="inlineStr">
        <is>
          <t>Sveaskog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1606-2025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45798</v>
      </c>
      <c r="E292" s="1" t="n">
        <v>46294</v>
      </c>
      <c r="F292" t="inlineStr">
        <is>
          <t>SKÅNE LÄN</t>
        </is>
      </c>
      <c r="G292" t="inlineStr">
        <is>
          <t>KLIPPAN</t>
        </is>
      </c>
      <c r="I292" t="n">
        <v>11.7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45947</v>
      </c>
      <c r="E293" s="1" t="n">
        <v>46294</v>
      </c>
      <c r="F293" t="inlineStr">
        <is>
          <t>SKÅNE LÄN</t>
        </is>
      </c>
      <c r="G293" t="inlineStr">
        <is>
          <t>KLIPPAN</t>
        </is>
      </c>
      <c r="I293" t="n">
        <v>48.2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46034</v>
      </c>
      <c r="E294" s="1" t="n">
        <v>46294</v>
      </c>
      <c r="F294" t="inlineStr">
        <is>
          <t>SKÅNE LÄN</t>
        </is>
      </c>
      <c r="G294" t="inlineStr">
        <is>
          <t>KLIPPAN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166-2026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46044</v>
      </c>
      <c r="E295" s="1" t="n">
        <v>46294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2022-2026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46294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2019-2026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46294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20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2020-2026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46294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30.3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2026-09-29T01:59:00Z</dcterms:created>
  <dcterms:modified xmlns:dcterms="http://purl.org/dc/terms/" xmlns:xsi="http://www.w3.org/2001/XMLSchema-instance" xsi:type="dcterms:W3CDTF">2026-09-29T01:59:00Z</dcterms:modified>
</cp:coreProperties>
</file>