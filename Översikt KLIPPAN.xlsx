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46226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46226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46226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46226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46226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46226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46226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46226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46226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46226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46226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Skogsknipprot
Grönsiska
Kungsfågel</t>
        </is>
      </c>
      <c r="W18">
        <f>HYPERLINK("https://klasma.github.io/Logging_1276/artfynd/S 5972-2022 artfynd.xlsx", "S 5972-2022")</f>
        <v/>
      </c>
      <c r="X18">
        <f>HYPERLINK("https://klasma.github.io/Logging_1276/kartor/S 5972-2022 karta.png", "S 5972-2022")</f>
        <v/>
      </c>
      <c r="Y18">
        <f>HYPERLINK("https://klasma.github.io/Logging_1276/kartor_geotiff/S 5972-2022 georefererad karta.tif", "S 5972-2022")</f>
        <v/>
      </c>
      <c r="AA18">
        <f>HYPERLINK("https://klasma.github.io/Logging_1276/klagomål/S 5972-2022 FSC-klagomål.docx", "S 5972-2022")</f>
        <v/>
      </c>
      <c r="AB18">
        <f>HYPERLINK("https://klasma.github.io/Logging_1276/klagomålsmail/S 5972-2022 FSC-klagomål mail.docx", "S 5972-2022")</f>
        <v/>
      </c>
      <c r="AC18">
        <f>HYPERLINK("https://klasma.github.io/Logging_1276/tillsyn/S 5972-2022 tillsynsbegäran.docx", "S 5972-2022")</f>
        <v/>
      </c>
      <c r="AD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46226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Fläcklungört
Strutbräken</t>
        </is>
      </c>
      <c r="W19">
        <f>HYPERLINK("https://klasma.github.io/Logging_1276/artfynd/A 19094-2022 artfynd.xlsx", "A 19094-2022")</f>
        <v/>
      </c>
      <c r="X19">
        <f>HYPERLINK("https://klasma.github.io/Logging_1276/kartor/A 19094-2022 karta.png", "A 19094-2022")</f>
        <v/>
      </c>
      <c r="Y19">
        <f>HYPERLINK("https://klasma.github.io/Logging_1276/kartor_geotiff/A 19094-2022 georefererad karta.tif", "A 19094-2022")</f>
        <v/>
      </c>
      <c r="AA19">
        <f>HYPERLINK("https://klasma.github.io/Logging_1276/klagomål/A 19094-2022 FSC-klagomål.docx", "A 19094-2022")</f>
        <v/>
      </c>
      <c r="AB19">
        <f>HYPERLINK("https://klasma.github.io/Logging_1276/klagomålsmail/A 19094-2022 FSC-klagomål mail.docx", "A 19094-2022")</f>
        <v/>
      </c>
      <c r="AC19">
        <f>HYPERLINK("https://klasma.github.io/Logging_1276/tillsyn/A 19094-2022 tillsynsbegäran.docx", "A 19094-2022")</f>
        <v/>
      </c>
      <c r="AD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46226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Kungsfågel</t>
        </is>
      </c>
      <c r="W20">
        <f>HYPERLINK("https://klasma.github.io/Logging_1276/artfynd/A 5732-2022 artfynd.xlsx", "A 5732-2022")</f>
        <v/>
      </c>
      <c r="X20">
        <f>HYPERLINK("https://klasma.github.io/Logging_1276/kartor/A 5732-2022 karta.png", "A 5732-2022")</f>
        <v/>
      </c>
      <c r="Y20">
        <f>HYPERLINK("https://klasma.github.io/Logging_1276/kartor_geotiff/A 5732-2022 georefererad karta.tif", "A 5732-2022")</f>
        <v/>
      </c>
      <c r="AA20">
        <f>HYPERLINK("https://klasma.github.io/Logging_1276/klagomål/A 5732-2022 FSC-klagomål.docx", "A 5732-2022")</f>
        <v/>
      </c>
      <c r="AB20">
        <f>HYPERLINK("https://klasma.github.io/Logging_1276/klagomålsmail/A 5732-2022 FSC-klagomål mail.docx", "A 5732-2022")</f>
        <v/>
      </c>
      <c r="AC20">
        <f>HYPERLINK("https://klasma.github.io/Logging_1276/tillsyn/A 5732-2022 tillsynsbegäran.docx", "A 5732-2022")</f>
        <v/>
      </c>
      <c r="AD20">
        <f>HYPERLINK("https://klasma.github.io/Logging_1276/tillsynsmail/A 5732-2022 tillsynsbegäran mail.docx", "A 5732-2022")</f>
        <v/>
      </c>
      <c r="AE20">
        <f>HYPERLINK("https://klasma.github.io/Logging_1276/fåglar/A 5732-2022 prioriterade fågelarter.docx", "A 5732-2022")</f>
        <v/>
      </c>
    </row>
    <row r="21" ht="15" customHeight="1">
      <c r="A21" t="inlineStr">
        <is>
          <t>A 5797-2024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46226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Entita
Gröngöling</t>
        </is>
      </c>
      <c r="W21">
        <f>HYPERLINK("https://klasma.github.io/Logging_1276/artfynd/A 5797-2024 artfynd.xlsx", "A 5797-2024")</f>
        <v/>
      </c>
      <c r="X21">
        <f>HYPERLINK("https://klasma.github.io/Logging_1276/kartor/A 5797-2024 karta.png", "A 5797-2024")</f>
        <v/>
      </c>
      <c r="Y21">
        <f>HYPERLINK("https://klasma.github.io/Logging_1276/kartor_geotiff/A 5797-2024 georefererad karta.tif", "A 5797-2024")</f>
        <v/>
      </c>
      <c r="AA21">
        <f>HYPERLINK("https://klasma.github.io/Logging_1276/klagomål/A 5797-2024 FSC-klagomål.docx", "A 5797-2024")</f>
        <v/>
      </c>
      <c r="AB21">
        <f>HYPERLINK("https://klasma.github.io/Logging_1276/klagomålsmail/A 5797-2024 FSC-klagomål mail.docx", "A 5797-2024")</f>
        <v/>
      </c>
      <c r="AC21">
        <f>HYPERLINK("https://klasma.github.io/Logging_1276/tillsyn/A 5797-2024 tillsynsbegäran.docx", "A 5797-2024")</f>
        <v/>
      </c>
      <c r="AD21">
        <f>HYPERLINK("https://klasma.github.io/Logging_1276/tillsynsmail/A 5797-2024 tillsynsbegäran mail.docx", "A 5797-2024")</f>
        <v/>
      </c>
      <c r="AE21">
        <f>HYPERLINK("https://klasma.github.io/Logging_1276/fåglar/A 5797-2024 prioriterade fågelarter.docx", "A 5797-2024")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46226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46226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46226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46226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46226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46226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3</v>
      </c>
      <c r="V27" s="2" t="inlineStr">
        <is>
          <t>Sommarklynne
Silversmygare</t>
        </is>
      </c>
      <c r="W27">
        <f>HYPERLINK("https://klasma.github.io/Logging_1276/artfynd/S 977-2023 artfynd.xlsx", "S 977-2023")</f>
        <v/>
      </c>
      <c r="X27">
        <f>HYPERLINK("https://klasma.github.io/Logging_1276/kartor/S 977-2023 karta.png", "S 977-2023")</f>
        <v/>
      </c>
      <c r="Y27">
        <f>HYPERLINK("https://klasma.github.io/Logging_1276/kartor_geotiff/S 977-2023 georefererad karta.tif", "S 977-2023")</f>
        <v/>
      </c>
      <c r="AA27">
        <f>HYPERLINK("https://klasma.github.io/Logging_1276/klagomål/S 977-2023 FSC-klagomål.docx", "S 977-2023")</f>
        <v/>
      </c>
      <c r="AB27">
        <f>HYPERLINK("https://klasma.github.io/Logging_1276/klagomålsmail/S 977-2023 FSC-klagomål mail.docx", "S 977-2023")</f>
        <v/>
      </c>
      <c r="AC27">
        <f>HYPERLINK("https://klasma.github.io/Logging_1276/tillsyn/S 977-2023 tillsynsbegäran.docx", "S 977-2023")</f>
        <v/>
      </c>
      <c r="AD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46226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Mattlummer
Revlummer</t>
        </is>
      </c>
      <c r="W28">
        <f>HYPERLINK("https://klasma.github.io/Logging_1276/artfynd/S 4007-2022 artfynd.xlsx", "S 4007-2022")</f>
        <v/>
      </c>
      <c r="X28">
        <f>HYPERLINK("https://klasma.github.io/Logging_1276/kartor/S 4007-2022 karta.png", "S 4007-2022")</f>
        <v/>
      </c>
      <c r="Y28">
        <f>HYPERLINK("https://klasma.github.io/Logging_1276/kartor_geotiff/S 4007-2022 georefererad karta.tif", "S 4007-2022")</f>
        <v/>
      </c>
      <c r="AA28">
        <f>HYPERLINK("https://klasma.github.io/Logging_1276/klagomål/S 4007-2022 FSC-klagomål.docx", "S 4007-2022")</f>
        <v/>
      </c>
      <c r="AB28">
        <f>HYPERLINK("https://klasma.github.io/Logging_1276/klagomålsmail/S 4007-2022 FSC-klagomål mail.docx", "S 4007-2022")</f>
        <v/>
      </c>
      <c r="AC28">
        <f>HYPERLINK("https://klasma.github.io/Logging_1276/tillsyn/S 4007-2022 tillsynsbegäran.docx", "S 4007-2022")</f>
        <v/>
      </c>
      <c r="AD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46226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Större vattensalamander
Vanlig padda</t>
        </is>
      </c>
      <c r="W29">
        <f>HYPERLINK("https://klasma.github.io/Logging_1276/artfynd/S 47-2026 artfynd.xlsx", "S 47-2026")</f>
        <v/>
      </c>
      <c r="X29">
        <f>HYPERLINK("https://klasma.github.io/Logging_1276/kartor/S 47-2026 karta.png", "S 47-2026")</f>
        <v/>
      </c>
      <c r="Y29">
        <f>HYPERLINK("https://klasma.github.io/Logging_1276/kartor_geotiff/S 47-2026 georefererad karta.tif", "S 47-2026")</f>
        <v/>
      </c>
      <c r="AA29">
        <f>HYPERLINK("https://klasma.github.io/Logging_1276/klagomål/S 47-2026 FSC-klagomål.docx", "S 47-2026")</f>
        <v/>
      </c>
      <c r="AB29">
        <f>HYPERLINK("https://klasma.github.io/Logging_1276/klagomålsmail/S 47-2026 FSC-klagomål mail.docx", "S 47-2026")</f>
        <v/>
      </c>
      <c r="AC29">
        <f>HYPERLINK("https://klasma.github.io/Logging_1276/tillsyn/S 47-2026 tillsynsbegäran.docx", "S 47-2026")</f>
        <v/>
      </c>
      <c r="AD29">
        <f>HYPERLINK("https://klasma.github.io/Logging_1276/tillsynsmail/S 47-2026 tillsynsbegäran mail.docx", "S 47-2026")</f>
        <v/>
      </c>
    </row>
    <row r="30" ht="15" customHeight="1">
      <c r="A30" t="inlineStr">
        <is>
          <t>A 6446-2026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46226</v>
      </c>
      <c r="F30" t="inlineStr">
        <is>
          <t>SKÅNE LÄN</t>
        </is>
      </c>
      <c r="G30" t="inlineStr">
        <is>
          <t>KLIPPAN</t>
        </is>
      </c>
      <c r="I30" t="n">
        <v>0.5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HYPERLINK("https://klasma.github.io/Logging_1276/artfynd/A 6446-2026 artfynd.xlsx", "A 6446-2026")</f>
        <v/>
      </c>
      <c r="X30">
        <f>HYPERLINK("https://klasma.github.io/Logging_1276/kartor/A 6446-2026 karta.png", "A 6446-2026")</f>
        <v/>
      </c>
      <c r="Y30">
        <f>HYPERLINK("https://klasma.github.io/Logging_1276/kartor_geotiff/A 6446-2026 georefererad karta.tif", "A 6446-2026")</f>
        <v/>
      </c>
      <c r="AA30">
        <f>HYPERLINK("https://klasma.github.io/Logging_1276/klagomål/A 6446-2026 FSC-klagomål.docx", "A 6446-2026")</f>
        <v/>
      </c>
      <c r="AB30">
        <f>HYPERLINK("https://klasma.github.io/Logging_1276/klagomålsmail/A 6446-2026 FSC-klagomål mail.docx", "A 6446-2026")</f>
        <v/>
      </c>
      <c r="AC30">
        <f>HYPERLINK("https://klasma.github.io/Logging_1276/tillsyn/A 6446-2026 tillsynsbegäran.docx", "A 6446-2026")</f>
        <v/>
      </c>
      <c r="AD30">
        <f>HYPERLINK("https://klasma.github.io/Logging_1276/tillsynsmail/A 6446-2026 tillsynsbegäran mail.docx", "A 6446-2026")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46226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61058-2025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46226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HYPERLINK("https://klasma.github.io/Logging_1276/artfynd/A 61058-2025 artfynd.xlsx", "A 61058-2025")</f>
        <v/>
      </c>
      <c r="X32">
        <f>HYPERLINK("https://klasma.github.io/Logging_1276/kartor/A 61058-2025 karta.png", "A 61058-2025")</f>
        <v/>
      </c>
      <c r="Y32">
        <f>HYPERLINK("https://klasma.github.io/Logging_1276/kartor_geotiff/A 61058-2025 georefererad karta.tif", "A 61058-2025")</f>
        <v/>
      </c>
      <c r="AA32">
        <f>HYPERLINK("https://klasma.github.io/Logging_1276/klagomål/A 61058-2025 FSC-klagomål.docx", "A 61058-2025")</f>
        <v/>
      </c>
      <c r="AB32">
        <f>HYPERLINK("https://klasma.github.io/Logging_1276/klagomålsmail/A 61058-2025 FSC-klagomål mail.docx", "A 61058-2025")</f>
        <v/>
      </c>
      <c r="AC32">
        <f>HYPERLINK("https://klasma.github.io/Logging_1276/tillsyn/A 61058-2025 tillsynsbegäran.docx", "A 61058-2025")</f>
        <v/>
      </c>
      <c r="AD32">
        <f>HYPERLINK("https://klasma.github.io/Logging_1276/tillsynsmail/A 61058-2025 tillsynsbegäran mail.docx", "A 61058-2025")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46226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46226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46226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46226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31279-2026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46226</v>
      </c>
      <c r="F37" t="inlineStr">
        <is>
          <t>SKÅNE LÄN</t>
        </is>
      </c>
      <c r="G37" t="inlineStr">
        <is>
          <t>KLIPPAN</t>
        </is>
      </c>
      <c r="I37" t="n">
        <v>2.3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31279-2026 artfynd.xlsx", "A 31279-2026")</f>
        <v/>
      </c>
      <c r="X37">
        <f>HYPERLINK("https://klasma.github.io/Logging_1276/kartor/A 31279-2026 karta.png", "A 31279-2026")</f>
        <v/>
      </c>
      <c r="Y37">
        <f>HYPERLINK("https://klasma.github.io/Logging_1276/kartor_geotiff/A 31279-2026 georefererad karta.tif", "A 31279-2026")</f>
        <v/>
      </c>
      <c r="AA37">
        <f>HYPERLINK("https://klasma.github.io/Logging_1276/klagomål/A 31279-2026 FSC-klagomål.docx", "A 31279-2026")</f>
        <v/>
      </c>
      <c r="AB37">
        <f>HYPERLINK("https://klasma.github.io/Logging_1276/klagomålsmail/A 31279-2026 FSC-klagomål mail.docx", "A 31279-2026")</f>
        <v/>
      </c>
      <c r="AC37">
        <f>HYPERLINK("https://klasma.github.io/Logging_1276/tillsyn/A 31279-2026 tillsynsbegäran.docx", "A 31279-2026")</f>
        <v/>
      </c>
      <c r="AD37">
        <f>HYPERLINK("https://klasma.github.io/Logging_1276/tillsynsmail/A 31279-2026 tillsynsbegäran mail.docx", "A 31279-2026")</f>
        <v/>
      </c>
    </row>
    <row r="38" ht="15" customHeight="1">
      <c r="A38" t="inlineStr">
        <is>
          <t>A 31525-2026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46223</v>
      </c>
      <c r="E38" s="1" t="n">
        <v>46226</v>
      </c>
      <c r="F38" t="inlineStr">
        <is>
          <t>SKÅNE LÄN</t>
        </is>
      </c>
      <c r="G38" t="inlineStr">
        <is>
          <t>KLIPPAN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Kruskantarell</t>
        </is>
      </c>
      <c r="W38">
        <f>HYPERLINK("https://klasma.github.io/Logging_1276/artfynd/A 31525-2026 artfynd.xlsx", "A 31525-2026")</f>
        <v/>
      </c>
      <c r="X38">
        <f>HYPERLINK("https://klasma.github.io/Logging_1276/kartor/A 31525-2026 karta.png", "A 31525-2026")</f>
        <v/>
      </c>
      <c r="Y38">
        <f>HYPERLINK("https://klasma.github.io/Logging_1276/kartor_geotiff/A 31525-2026 georefererad karta.tif", "A 31525-2026")</f>
        <v/>
      </c>
      <c r="AA38">
        <f>HYPERLINK("https://klasma.github.io/Logging_1276/klagomål/A 31525-2026 FSC-klagomål.docx", "A 31525-2026")</f>
        <v/>
      </c>
      <c r="AB38">
        <f>HYPERLINK("https://klasma.github.io/Logging_1276/klagomålsmail/A 31525-2026 FSC-klagomål mail.docx", "A 31525-2026")</f>
        <v/>
      </c>
      <c r="AC38">
        <f>HYPERLINK("https://klasma.github.io/Logging_1276/tillsyn/A 31525-2026 tillsynsbegäran.docx", "A 31525-2026")</f>
        <v/>
      </c>
      <c r="AD38">
        <f>HYPERLINK("https://klasma.github.io/Logging_1276/tillsynsmail/A 31525-2026 tillsynsbegäran mail.docx", "A 31525-2026")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46226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46226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46226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46226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46226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46226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46226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46226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46226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46226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46226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46226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46226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46226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46226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46226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46226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46226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46226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46226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46226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46226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46226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46226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46226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46226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46226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46226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45523</v>
      </c>
      <c r="E72" s="1" t="n">
        <v>46226</v>
      </c>
      <c r="F72" t="inlineStr">
        <is>
          <t>SKÅNE LÄN</t>
        </is>
      </c>
      <c r="G72" t="inlineStr">
        <is>
          <t>KLIPPAN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46226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46226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46226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46226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46226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45328</v>
      </c>
      <c r="E78" s="1" t="n">
        <v>46226</v>
      </c>
      <c r="F78" t="inlineStr">
        <is>
          <t>SKÅNE LÄN</t>
        </is>
      </c>
      <c r="G78" t="inlineStr">
        <is>
          <t>KLIPPAN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46226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46226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46226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46226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46226</v>
      </c>
      <c r="F83" t="inlineStr">
        <is>
          <t>SKÅNE LÄN</t>
        </is>
      </c>
      <c r="G83" t="inlineStr">
        <is>
          <t>KLIPPAN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46226</v>
      </c>
      <c r="F84" t="inlineStr">
        <is>
          <t>SKÅNE LÄN</t>
        </is>
      </c>
      <c r="G84" t="inlineStr">
        <is>
          <t>KLIPPAN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46226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46226</v>
      </c>
      <c r="F86" t="inlineStr">
        <is>
          <t>SKÅNE LÄN</t>
        </is>
      </c>
      <c r="G86" t="inlineStr">
        <is>
          <t>KLIPPAN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27898-2025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46226</v>
      </c>
      <c r="F87" t="inlineStr">
        <is>
          <t>SKÅNE LÄN</t>
        </is>
      </c>
      <c r="G87" t="inlineStr">
        <is>
          <t>KLIPPAN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46226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45094</v>
      </c>
      <c r="E89" s="1" t="n">
        <v>46226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46226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45260</v>
      </c>
      <c r="E91" s="1" t="n">
        <v>46226</v>
      </c>
      <c r="F91" t="inlineStr">
        <is>
          <t>SKÅNE LÄN</t>
        </is>
      </c>
      <c r="G91" t="inlineStr">
        <is>
          <t>KLIPPAN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46226</v>
      </c>
      <c r="F92" t="inlineStr">
        <is>
          <t>SKÅNE LÄN</t>
        </is>
      </c>
      <c r="G92" t="inlineStr">
        <is>
          <t>KLIPPAN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46226</v>
      </c>
      <c r="F93" t="inlineStr">
        <is>
          <t>SKÅNE LÄN</t>
        </is>
      </c>
      <c r="G93" t="inlineStr">
        <is>
          <t>KLIPPAN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46226</v>
      </c>
      <c r="F94" t="inlineStr">
        <is>
          <t>SKÅNE LÄN</t>
        </is>
      </c>
      <c r="G94" t="inlineStr">
        <is>
          <t>KLIPPAN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46071</v>
      </c>
      <c r="E95" s="1" t="n">
        <v>46226</v>
      </c>
      <c r="F95" t="inlineStr">
        <is>
          <t>SKÅNE LÄN</t>
        </is>
      </c>
      <c r="G95" t="inlineStr">
        <is>
          <t>KLIPPAN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46226</v>
      </c>
      <c r="F96" t="inlineStr">
        <is>
          <t>SKÅNE LÄN</t>
        </is>
      </c>
      <c r="G96" t="inlineStr">
        <is>
          <t>KLIPPAN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46226</v>
      </c>
      <c r="F97" t="inlineStr">
        <is>
          <t>SKÅNE LÄN</t>
        </is>
      </c>
      <c r="G97" t="inlineStr">
        <is>
          <t>KLIPPAN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28490-2023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46226</v>
      </c>
      <c r="F98" t="inlineStr">
        <is>
          <t>SKÅNE LÄN</t>
        </is>
      </c>
      <c r="G98" t="inlineStr">
        <is>
          <t>KLIPPAN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46226</v>
      </c>
      <c r="F99" t="inlineStr">
        <is>
          <t>SKÅNE LÄN</t>
        </is>
      </c>
      <c r="G99" t="inlineStr">
        <is>
          <t>KLIPPAN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46226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46226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45739</v>
      </c>
      <c r="E102" s="1" t="n">
        <v>46226</v>
      </c>
      <c r="F102" t="inlineStr">
        <is>
          <t>SKÅNE LÄN</t>
        </is>
      </c>
      <c r="G102" t="inlineStr">
        <is>
          <t>KLIPPAN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46226</v>
      </c>
      <c r="F103" t="inlineStr">
        <is>
          <t>SKÅNE LÄN</t>
        </is>
      </c>
      <c r="G103" t="inlineStr">
        <is>
          <t>KLIPPAN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46226</v>
      </c>
      <c r="F104" t="inlineStr">
        <is>
          <t>SKÅNE LÄN</t>
        </is>
      </c>
      <c r="G104" t="inlineStr">
        <is>
          <t>KLIPPAN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46226</v>
      </c>
      <c r="F105" t="inlineStr">
        <is>
          <t>SKÅNE LÄN</t>
        </is>
      </c>
      <c r="G105" t="inlineStr">
        <is>
          <t>KLIPPAN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46226</v>
      </c>
      <c r="F106" t="inlineStr">
        <is>
          <t>SKÅNE LÄN</t>
        </is>
      </c>
      <c r="G106" t="inlineStr">
        <is>
          <t>KLIPPAN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45581</v>
      </c>
      <c r="E107" s="1" t="n">
        <v>46226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46226</v>
      </c>
      <c r="F108" t="inlineStr">
        <is>
          <t>SKÅNE LÄN</t>
        </is>
      </c>
      <c r="G108" t="inlineStr">
        <is>
          <t>KLIPPAN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46226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29284-2025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45824</v>
      </c>
      <c r="E110" s="1" t="n">
        <v>46226</v>
      </c>
      <c r="F110" t="inlineStr">
        <is>
          <t>SKÅNE LÄN</t>
        </is>
      </c>
      <c r="G110" t="inlineStr">
        <is>
          <t>KLIPPAN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46226</v>
      </c>
      <c r="F111" t="inlineStr">
        <is>
          <t>SKÅNE LÄN</t>
        </is>
      </c>
      <c r="G111" t="inlineStr">
        <is>
          <t>KLIPPAN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45055</v>
      </c>
      <c r="E112" s="1" t="n">
        <v>46226</v>
      </c>
      <c r="F112" t="inlineStr">
        <is>
          <t>SKÅNE LÄN</t>
        </is>
      </c>
      <c r="G112" t="inlineStr">
        <is>
          <t>KLIPPAN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45155</v>
      </c>
      <c r="E113" s="1" t="n">
        <v>46226</v>
      </c>
      <c r="F113" t="inlineStr">
        <is>
          <t>SKÅNE LÄN</t>
        </is>
      </c>
      <c r="G113" t="inlineStr">
        <is>
          <t>KLIPPAN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44420</v>
      </c>
      <c r="E114" s="1" t="n">
        <v>46226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46226</v>
      </c>
      <c r="F115" t="inlineStr">
        <is>
          <t>SKÅNE LÄN</t>
        </is>
      </c>
      <c r="G115" t="inlineStr">
        <is>
          <t>KLIPPAN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46226</v>
      </c>
      <c r="F116" t="inlineStr">
        <is>
          <t>SKÅNE LÄN</t>
        </is>
      </c>
      <c r="G116" t="inlineStr">
        <is>
          <t>KLIPPAN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46226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45583</v>
      </c>
      <c r="E118" s="1" t="n">
        <v>46226</v>
      </c>
      <c r="F118" t="inlineStr">
        <is>
          <t>SKÅNE LÄN</t>
        </is>
      </c>
      <c r="G118" t="inlineStr">
        <is>
          <t>KLIPPAN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46226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46226</v>
      </c>
      <c r="F120" t="inlineStr">
        <is>
          <t>SKÅNE LÄN</t>
        </is>
      </c>
      <c r="G120" t="inlineStr">
        <is>
          <t>KLIPPAN</t>
        </is>
      </c>
      <c r="I120" t="n">
        <v>20.9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46226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46226</v>
      </c>
      <c r="F122" t="inlineStr">
        <is>
          <t>SKÅNE LÄN</t>
        </is>
      </c>
      <c r="G122" t="inlineStr">
        <is>
          <t>KLIPPAN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54348-2022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46226</v>
      </c>
      <c r="F123" t="inlineStr">
        <is>
          <t>SKÅNE LÄN</t>
        </is>
      </c>
      <c r="G123" t="inlineStr">
        <is>
          <t>KLIPPAN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46226</v>
      </c>
      <c r="F124" t="inlineStr">
        <is>
          <t>SKÅNE LÄN</t>
        </is>
      </c>
      <c r="G124" t="inlineStr">
        <is>
          <t>KLIPPAN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46226</v>
      </c>
      <c r="F125" t="inlineStr">
        <is>
          <t>SKÅNE LÄN</t>
        </is>
      </c>
      <c r="G125" t="inlineStr">
        <is>
          <t>KLIPPAN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55833-2023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45239</v>
      </c>
      <c r="E126" s="1" t="n">
        <v>46226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46226</v>
      </c>
      <c r="F127" t="inlineStr">
        <is>
          <t>SKÅNE LÄN</t>
        </is>
      </c>
      <c r="G127" t="inlineStr">
        <is>
          <t>KLIPPAN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46226</v>
      </c>
      <c r="F128" t="inlineStr">
        <is>
          <t>SKÅNE LÄN</t>
        </is>
      </c>
      <c r="G128" t="inlineStr">
        <is>
          <t>KLIPPAN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20082-2026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46136</v>
      </c>
      <c r="E129" s="1" t="n">
        <v>46226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45055</v>
      </c>
      <c r="E130" s="1" t="n">
        <v>46226</v>
      </c>
      <c r="F130" t="inlineStr">
        <is>
          <t>SKÅNE LÄN</t>
        </is>
      </c>
      <c r="G130" t="inlineStr">
        <is>
          <t>KLIPPAN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45673</v>
      </c>
      <c r="E131" s="1" t="n">
        <v>46226</v>
      </c>
      <c r="F131" t="inlineStr">
        <is>
          <t>SKÅNE LÄN</t>
        </is>
      </c>
      <c r="G131" t="inlineStr">
        <is>
          <t>KLIPPAN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46226</v>
      </c>
      <c r="F132" t="inlineStr">
        <is>
          <t>SKÅNE LÄN</t>
        </is>
      </c>
      <c r="G132" t="inlineStr">
        <is>
          <t>KLIPPAN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46226</v>
      </c>
      <c r="F133" t="inlineStr">
        <is>
          <t>SKÅNE LÄN</t>
        </is>
      </c>
      <c r="G133" t="inlineStr">
        <is>
          <t>KLIPPAN</t>
        </is>
      </c>
      <c r="H133" t="inlineStr">
        <is>
          <t>Övriga Aktiebolag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46226</v>
      </c>
      <c r="F134" t="inlineStr">
        <is>
          <t>SKÅNE LÄN</t>
        </is>
      </c>
      <c r="G134" t="inlineStr">
        <is>
          <t>KLIPPAN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46226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46226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46226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45104</v>
      </c>
      <c r="E138" s="1" t="n">
        <v>46226</v>
      </c>
      <c r="F138" t="inlineStr">
        <is>
          <t>SKÅNE LÄN</t>
        </is>
      </c>
      <c r="G138" t="inlineStr">
        <is>
          <t>KLIPPAN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46226</v>
      </c>
      <c r="F139" t="inlineStr">
        <is>
          <t>SKÅNE LÄN</t>
        </is>
      </c>
      <c r="G139" t="inlineStr">
        <is>
          <t>KLIPPAN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46226</v>
      </c>
      <c r="F140" t="inlineStr">
        <is>
          <t>SKÅNE LÄN</t>
        </is>
      </c>
      <c r="G140" t="inlineStr">
        <is>
          <t>KLIPPAN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46226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46226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46226</v>
      </c>
      <c r="F143" t="inlineStr">
        <is>
          <t>SKÅNE LÄN</t>
        </is>
      </c>
      <c r="G143" t="inlineStr">
        <is>
          <t>KLIPPAN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46226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46226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46728-2023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45198</v>
      </c>
      <c r="E146" s="1" t="n">
        <v>46226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46226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44455</v>
      </c>
      <c r="E148" s="1" t="n">
        <v>46226</v>
      </c>
      <c r="F148" t="inlineStr">
        <is>
          <t>SKÅNE LÄN</t>
        </is>
      </c>
      <c r="G148" t="inlineStr">
        <is>
          <t>KLIPPAN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46226</v>
      </c>
      <c r="F149" t="inlineStr">
        <is>
          <t>SKÅNE LÄN</t>
        </is>
      </c>
      <c r="G149" t="inlineStr">
        <is>
          <t>KLIPPAN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46226</v>
      </c>
      <c r="F150" t="inlineStr">
        <is>
          <t>SKÅNE LÄN</t>
        </is>
      </c>
      <c r="G150" t="inlineStr">
        <is>
          <t>KLIPPAN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46226</v>
      </c>
      <c r="F151" t="inlineStr">
        <is>
          <t>SKÅNE LÄN</t>
        </is>
      </c>
      <c r="G151" t="inlineStr">
        <is>
          <t>KLIPPAN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46226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46226</v>
      </c>
      <c r="F153" t="inlineStr">
        <is>
          <t>SKÅNE LÄN</t>
        </is>
      </c>
      <c r="G153" t="inlineStr">
        <is>
          <t>KLIPPAN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46226</v>
      </c>
      <c r="F154" t="inlineStr">
        <is>
          <t>SKÅNE LÄN</t>
        </is>
      </c>
      <c r="G154" t="inlineStr">
        <is>
          <t>KLIPPAN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46226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46226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46027</v>
      </c>
      <c r="E157" s="1" t="n">
        <v>46226</v>
      </c>
      <c r="F157" t="inlineStr">
        <is>
          <t>SKÅNE LÄN</t>
        </is>
      </c>
      <c r="G157" t="inlineStr">
        <is>
          <t>KLIPPAN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46226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46226</v>
      </c>
      <c r="F159" t="inlineStr">
        <is>
          <t>SKÅNE LÄN</t>
        </is>
      </c>
      <c r="G159" t="inlineStr">
        <is>
          <t>KLIPPAN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46226</v>
      </c>
      <c r="F160" t="inlineStr">
        <is>
          <t>SKÅNE LÄN</t>
        </is>
      </c>
      <c r="G160" t="inlineStr">
        <is>
          <t>KLIPPAN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44616</v>
      </c>
      <c r="E161" s="1" t="n">
        <v>46226</v>
      </c>
      <c r="F161" t="inlineStr">
        <is>
          <t>SKÅNE LÄN</t>
        </is>
      </c>
      <c r="G161" t="inlineStr">
        <is>
          <t>KLIPPAN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46226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46226</v>
      </c>
      <c r="F163" t="inlineStr">
        <is>
          <t>SKÅNE LÄN</t>
        </is>
      </c>
      <c r="G163" t="inlineStr">
        <is>
          <t>KLIPPAN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46226</v>
      </c>
      <c r="F164" t="inlineStr">
        <is>
          <t>SKÅNE LÄN</t>
        </is>
      </c>
      <c r="G164" t="inlineStr">
        <is>
          <t>KLIPPAN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46226</v>
      </c>
      <c r="F165" t="inlineStr">
        <is>
          <t>SKÅNE LÄN</t>
        </is>
      </c>
      <c r="G165" t="inlineStr">
        <is>
          <t>KLIPPAN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46226</v>
      </c>
      <c r="F166" t="inlineStr">
        <is>
          <t>SKÅNE LÄN</t>
        </is>
      </c>
      <c r="G166" t="inlineStr">
        <is>
          <t>KLIPPAN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46226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46226</v>
      </c>
      <c r="F168" t="inlineStr">
        <is>
          <t>SKÅNE LÄN</t>
        </is>
      </c>
      <c r="G168" t="inlineStr">
        <is>
          <t>KLIPPAN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46226</v>
      </c>
      <c r="F169" t="inlineStr">
        <is>
          <t>SKÅNE LÄN</t>
        </is>
      </c>
      <c r="G169" t="inlineStr">
        <is>
          <t>KLIPPAN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46226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46226</v>
      </c>
      <c r="F171" t="inlineStr">
        <is>
          <t>SKÅNE LÄN</t>
        </is>
      </c>
      <c r="G171" t="inlineStr">
        <is>
          <t>KLIPPAN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46226</v>
      </c>
      <c r="F172" t="inlineStr">
        <is>
          <t>SKÅNE LÄN</t>
        </is>
      </c>
      <c r="G172" t="inlineStr">
        <is>
          <t>KLIPPAN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46226</v>
      </c>
      <c r="F173" t="inlineStr">
        <is>
          <t>SKÅNE LÄN</t>
        </is>
      </c>
      <c r="G173" t="inlineStr">
        <is>
          <t>KLIPPAN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46226</v>
      </c>
      <c r="F174" t="inlineStr">
        <is>
          <t>SKÅNE LÄN</t>
        </is>
      </c>
      <c r="G174" t="inlineStr">
        <is>
          <t>KLIPPAN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46226</v>
      </c>
      <c r="F175" t="inlineStr">
        <is>
          <t>SKÅNE LÄN</t>
        </is>
      </c>
      <c r="G175" t="inlineStr">
        <is>
          <t>KLIPPAN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46226</v>
      </c>
      <c r="F176" t="inlineStr">
        <is>
          <t>SKÅNE LÄN</t>
        </is>
      </c>
      <c r="G176" t="inlineStr">
        <is>
          <t>KLIPPAN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69041-2021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44529</v>
      </c>
      <c r="E177" s="1" t="n">
        <v>46226</v>
      </c>
      <c r="F177" t="inlineStr">
        <is>
          <t>SKÅNE LÄN</t>
        </is>
      </c>
      <c r="G177" t="inlineStr">
        <is>
          <t>KLIPPAN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46202</v>
      </c>
      <c r="E178" s="1" t="n">
        <v>46226</v>
      </c>
      <c r="F178" t="inlineStr">
        <is>
          <t>SKÅNE LÄN</t>
        </is>
      </c>
      <c r="G178" t="inlineStr">
        <is>
          <t>KLIPPAN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46226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46226</v>
      </c>
      <c r="F180" t="inlineStr">
        <is>
          <t>SKÅNE LÄN</t>
        </is>
      </c>
      <c r="G180" t="inlineStr">
        <is>
          <t>KLIPPAN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55586-2021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44475</v>
      </c>
      <c r="E181" s="1" t="n">
        <v>46226</v>
      </c>
      <c r="F181" t="inlineStr">
        <is>
          <t>SKÅNE LÄN</t>
        </is>
      </c>
      <c r="G181" t="inlineStr">
        <is>
          <t>KLIPPAN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46209</v>
      </c>
      <c r="E182" s="1" t="n">
        <v>46226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46226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46226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46226</v>
      </c>
      <c r="F185" t="inlineStr">
        <is>
          <t>SKÅNE LÄN</t>
        </is>
      </c>
      <c r="G185" t="inlineStr">
        <is>
          <t>KLIPPAN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46216</v>
      </c>
      <c r="E186" s="1" t="n">
        <v>46226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46226</v>
      </c>
      <c r="F187" t="inlineStr">
        <is>
          <t>SKÅNE LÄN</t>
        </is>
      </c>
      <c r="G187" t="inlineStr">
        <is>
          <t>KLIPPAN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46216</v>
      </c>
      <c r="E188" s="1" t="n">
        <v>46226</v>
      </c>
      <c r="F188" t="inlineStr">
        <is>
          <t>SKÅNE LÄN</t>
        </is>
      </c>
      <c r="G188" t="inlineStr">
        <is>
          <t>KLIPPAN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46226</v>
      </c>
      <c r="F189" t="inlineStr">
        <is>
          <t>SKÅNE LÄN</t>
        </is>
      </c>
      <c r="G189" t="inlineStr">
        <is>
          <t>KLIPPAN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46226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46226</v>
      </c>
      <c r="F191" t="inlineStr">
        <is>
          <t>SKÅNE LÄN</t>
        </is>
      </c>
      <c r="G191" t="inlineStr">
        <is>
          <t>KLIPPAN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46226</v>
      </c>
      <c r="F192" t="inlineStr">
        <is>
          <t>SKÅNE LÄN</t>
        </is>
      </c>
      <c r="G192" t="inlineStr">
        <is>
          <t>KLIPPAN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46226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46226</v>
      </c>
      <c r="F194" t="inlineStr">
        <is>
          <t>SKÅNE LÄN</t>
        </is>
      </c>
      <c r="G194" t="inlineStr">
        <is>
          <t>KLIPPAN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46226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46226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46226</v>
      </c>
      <c r="F197" t="inlineStr">
        <is>
          <t>SKÅNE LÄN</t>
        </is>
      </c>
      <c r="G197" t="inlineStr">
        <is>
          <t>KLIPPAN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46226</v>
      </c>
      <c r="F198" t="inlineStr">
        <is>
          <t>SKÅNE LÄN</t>
        </is>
      </c>
      <c r="G198" t="inlineStr">
        <is>
          <t>KLIPPAN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46226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30514-2026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46226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46226</v>
      </c>
      <c r="F201" t="inlineStr">
        <is>
          <t>SKÅNE LÄN</t>
        </is>
      </c>
      <c r="G201" t="inlineStr">
        <is>
          <t>KLIPPAN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46226</v>
      </c>
      <c r="F202" t="inlineStr">
        <is>
          <t>SKÅNE LÄN</t>
        </is>
      </c>
      <c r="G202" t="inlineStr">
        <is>
          <t>KLIPPAN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46226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45562</v>
      </c>
      <c r="E204" s="1" t="n">
        <v>46226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46223</v>
      </c>
      <c r="E205" s="1" t="n">
        <v>46226</v>
      </c>
      <c r="F205" t="inlineStr">
        <is>
          <t>SKÅNE LÄN</t>
        </is>
      </c>
      <c r="G205" t="inlineStr">
        <is>
          <t>KLIPPAN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46226</v>
      </c>
      <c r="F206" t="inlineStr">
        <is>
          <t>SKÅNE LÄN</t>
        </is>
      </c>
      <c r="G206" t="inlineStr">
        <is>
          <t>KLIPPAN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46226</v>
      </c>
      <c r="F207" t="inlineStr">
        <is>
          <t>SKÅNE LÄN</t>
        </is>
      </c>
      <c r="G207" t="inlineStr">
        <is>
          <t>KLIPPAN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45641-2022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44845</v>
      </c>
      <c r="E208" s="1" t="n">
        <v>46226</v>
      </c>
      <c r="F208" t="inlineStr">
        <is>
          <t>SKÅNE LÄN</t>
        </is>
      </c>
      <c r="G208" t="inlineStr">
        <is>
          <t>KLIPPAN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45442</v>
      </c>
      <c r="E209" s="1" t="n">
        <v>46226</v>
      </c>
      <c r="F209" t="inlineStr">
        <is>
          <t>SKÅNE LÄN</t>
        </is>
      </c>
      <c r="G209" t="inlineStr">
        <is>
          <t>KLIPPAN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46226</v>
      </c>
      <c r="F210" t="inlineStr">
        <is>
          <t>SKÅNE LÄN</t>
        </is>
      </c>
      <c r="G210" t="inlineStr">
        <is>
          <t>KLIPPAN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45013</v>
      </c>
      <c r="E211" s="1" t="n">
        <v>46226</v>
      </c>
      <c r="F211" t="inlineStr">
        <is>
          <t>SKÅNE LÄN</t>
        </is>
      </c>
      <c r="G211" t="inlineStr">
        <is>
          <t>KLIPPAN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46226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44993</v>
      </c>
      <c r="E213" s="1" t="n">
        <v>46226</v>
      </c>
      <c r="F213" t="inlineStr">
        <is>
          <t>SKÅNE LÄN</t>
        </is>
      </c>
      <c r="G213" t="inlineStr">
        <is>
          <t>KLIPPAN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45005</v>
      </c>
      <c r="E214" s="1" t="n">
        <v>46226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44593</v>
      </c>
      <c r="E215" s="1" t="n">
        <v>46226</v>
      </c>
      <c r="F215" t="inlineStr">
        <is>
          <t>SKÅNE LÄN</t>
        </is>
      </c>
      <c r="G215" t="inlineStr">
        <is>
          <t>KLIPPAN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46226</v>
      </c>
      <c r="F216" t="inlineStr">
        <is>
          <t>SKÅNE LÄN</t>
        </is>
      </c>
      <c r="G216" t="inlineStr">
        <is>
          <t>KLIPPAN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47870-2022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44855</v>
      </c>
      <c r="E217" s="1" t="n">
        <v>46226</v>
      </c>
      <c r="F217" t="inlineStr">
        <is>
          <t>SKÅNE LÄN</t>
        </is>
      </c>
      <c r="G217" t="inlineStr">
        <is>
          <t>KLIPPAN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46226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58387-2022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46226</v>
      </c>
      <c r="F219" t="inlineStr">
        <is>
          <t>SKÅNE LÄN</t>
        </is>
      </c>
      <c r="G219" t="inlineStr">
        <is>
          <t>KLIPPAN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46226</v>
      </c>
      <c r="F220" t="inlineStr">
        <is>
          <t>SKÅNE LÄN</t>
        </is>
      </c>
      <c r="G220" t="inlineStr">
        <is>
          <t>KLIPPAN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46226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46226</v>
      </c>
      <c r="F222" t="inlineStr">
        <is>
          <t>SKÅNE LÄN</t>
        </is>
      </c>
      <c r="G222" t="inlineStr">
        <is>
          <t>KLIPPAN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46226</v>
      </c>
      <c r="F223" t="inlineStr">
        <is>
          <t>SKÅNE LÄN</t>
        </is>
      </c>
      <c r="G223" t="inlineStr">
        <is>
          <t>KLIPPAN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45442</v>
      </c>
      <c r="E224" s="1" t="n">
        <v>46226</v>
      </c>
      <c r="F224" t="inlineStr">
        <is>
          <t>SKÅNE LÄN</t>
        </is>
      </c>
      <c r="G224" t="inlineStr">
        <is>
          <t>KLIPPAN</t>
        </is>
      </c>
      <c r="I224" t="n">
        <v>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46226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46226</v>
      </c>
      <c r="F226" t="inlineStr">
        <is>
          <t>SKÅNE LÄN</t>
        </is>
      </c>
      <c r="G226" t="inlineStr">
        <is>
          <t>KLIPPAN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52877-2022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44875</v>
      </c>
      <c r="E227" s="1" t="n">
        <v>46226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46226</v>
      </c>
      <c r="F228" t="inlineStr">
        <is>
          <t>SKÅNE LÄN</t>
        </is>
      </c>
      <c r="G228" t="inlineStr">
        <is>
          <t>KLIPPAN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46226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46226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45588</v>
      </c>
      <c r="E231" s="1" t="n">
        <v>46226</v>
      </c>
      <c r="F231" t="inlineStr">
        <is>
          <t>SKÅNE LÄN</t>
        </is>
      </c>
      <c r="G231" t="inlineStr">
        <is>
          <t>KLIPPAN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45212</v>
      </c>
      <c r="E232" s="1" t="n">
        <v>46226</v>
      </c>
      <c r="F232" t="inlineStr">
        <is>
          <t>SKÅNE LÄN</t>
        </is>
      </c>
      <c r="G232" t="inlineStr">
        <is>
          <t>KLIPPAN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68856-2021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44530</v>
      </c>
      <c r="E233" s="1" t="n">
        <v>46226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45199</v>
      </c>
      <c r="E234" s="1" t="n">
        <v>46226</v>
      </c>
      <c r="F234" t="inlineStr">
        <is>
          <t>SKÅNE LÄN</t>
        </is>
      </c>
      <c r="G234" t="inlineStr">
        <is>
          <t>KLIPPAN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46226</v>
      </c>
      <c r="F235" t="inlineStr">
        <is>
          <t>SKÅNE LÄN</t>
        </is>
      </c>
      <c r="G235" t="inlineStr">
        <is>
          <t>KLIPPAN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46226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9.300000000000001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46226</v>
      </c>
      <c r="F237" t="inlineStr">
        <is>
          <t>SKÅNE LÄN</t>
        </is>
      </c>
      <c r="G237" t="inlineStr">
        <is>
          <t>KLIPPAN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46226</v>
      </c>
      <c r="F238" t="inlineStr">
        <is>
          <t>SKÅNE LÄN</t>
        </is>
      </c>
      <c r="G238" t="inlineStr">
        <is>
          <t>KLIPPAN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23978-2022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46226</v>
      </c>
      <c r="F239" t="inlineStr">
        <is>
          <t>SKÅNE LÄN</t>
        </is>
      </c>
      <c r="G239" t="inlineStr">
        <is>
          <t>KLIPPAN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46226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46226</v>
      </c>
      <c r="F241" t="inlineStr">
        <is>
          <t>SKÅNE LÄN</t>
        </is>
      </c>
      <c r="G241" t="inlineStr">
        <is>
          <t>KLIPPAN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55587-2021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44475</v>
      </c>
      <c r="E242" s="1" t="n">
        <v>46226</v>
      </c>
      <c r="F242" t="inlineStr">
        <is>
          <t>SKÅNE LÄN</t>
        </is>
      </c>
      <c r="G242" t="inlineStr">
        <is>
          <t>KLIPPAN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44722</v>
      </c>
      <c r="E243" s="1" t="n">
        <v>46226</v>
      </c>
      <c r="F243" t="inlineStr">
        <is>
          <t>SKÅNE LÄN</t>
        </is>
      </c>
      <c r="G243" t="inlineStr">
        <is>
          <t>KLIPPAN</t>
        </is>
      </c>
      <c r="I243" t="n">
        <v>7.8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46226</v>
      </c>
      <c r="F244" t="inlineStr">
        <is>
          <t>SKÅNE LÄN</t>
        </is>
      </c>
      <c r="G244" t="inlineStr">
        <is>
          <t>KLIPPAN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46226</v>
      </c>
      <c r="F245" t="inlineStr">
        <is>
          <t>SKÅNE LÄN</t>
        </is>
      </c>
      <c r="G245" t="inlineStr">
        <is>
          <t>KLIPPAN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46226</v>
      </c>
      <c r="F246" t="inlineStr">
        <is>
          <t>SKÅNE LÄN</t>
        </is>
      </c>
      <c r="G246" t="inlineStr">
        <is>
          <t>KLIPPAN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46226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46226</v>
      </c>
      <c r="F248" t="inlineStr">
        <is>
          <t>SKÅNE LÄN</t>
        </is>
      </c>
      <c r="G248" t="inlineStr">
        <is>
          <t>KLIPPAN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44697</v>
      </c>
      <c r="E249" s="1" t="n">
        <v>46226</v>
      </c>
      <c r="F249" t="inlineStr">
        <is>
          <t>SKÅNE LÄN</t>
        </is>
      </c>
      <c r="G249" t="inlineStr">
        <is>
          <t>KLIPPAN</t>
        </is>
      </c>
      <c r="I249" t="n">
        <v>17.2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46226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63720-2023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46226</v>
      </c>
      <c r="F251" t="inlineStr">
        <is>
          <t>SKÅNE LÄN</t>
        </is>
      </c>
      <c r="G251" t="inlineStr">
        <is>
          <t>KLIPPAN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45393</v>
      </c>
      <c r="E252" s="1" t="n">
        <v>46226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47869-2022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44855</v>
      </c>
      <c r="E253" s="1" t="n">
        <v>46226</v>
      </c>
      <c r="F253" t="inlineStr">
        <is>
          <t>SKÅNE LÄN</t>
        </is>
      </c>
      <c r="G253" t="inlineStr">
        <is>
          <t>KLIPPAN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45341</v>
      </c>
      <c r="E254" s="1" t="n">
        <v>46226</v>
      </c>
      <c r="F254" t="inlineStr">
        <is>
          <t>SKÅNE LÄN</t>
        </is>
      </c>
      <c r="G254" t="inlineStr">
        <is>
          <t>KLIPPAN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45084</v>
      </c>
      <c r="E255" s="1" t="n">
        <v>46226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13420-2023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46226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46226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46226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46226</v>
      </c>
      <c r="F259" t="inlineStr">
        <is>
          <t>SKÅNE LÄN</t>
        </is>
      </c>
      <c r="G259" t="inlineStr">
        <is>
          <t>KLIPPAN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45554</v>
      </c>
      <c r="E260" s="1" t="n">
        <v>46226</v>
      </c>
      <c r="F260" t="inlineStr">
        <is>
          <t>SKÅNE LÄN</t>
        </is>
      </c>
      <c r="G260" t="inlineStr">
        <is>
          <t>KLIPPAN</t>
        </is>
      </c>
      <c r="H260" t="inlineStr">
        <is>
          <t>Sveaskog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46226</v>
      </c>
      <c r="F261" t="inlineStr">
        <is>
          <t>SKÅNE LÄN</t>
        </is>
      </c>
      <c r="G261" t="inlineStr">
        <is>
          <t>KLIPPAN</t>
        </is>
      </c>
      <c r="H261" t="inlineStr">
        <is>
          <t>Övriga Aktiebolag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46226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46226</v>
      </c>
      <c r="F263" t="inlineStr">
        <is>
          <t>SKÅNE LÄN</t>
        </is>
      </c>
      <c r="G263" t="inlineStr">
        <is>
          <t>KLIPPAN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45573</v>
      </c>
      <c r="E264" s="1" t="n">
        <v>46226</v>
      </c>
      <c r="F264" t="inlineStr">
        <is>
          <t>SKÅNE LÄN</t>
        </is>
      </c>
      <c r="G264" t="inlineStr">
        <is>
          <t>KLIPPAN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46226</v>
      </c>
      <c r="F265" t="inlineStr">
        <is>
          <t>SKÅNE LÄN</t>
        </is>
      </c>
      <c r="G265" t="inlineStr">
        <is>
          <t>KLIPPAN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46226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46226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46226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46226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46226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46226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46226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46226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46226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46226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46226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46226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46226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46226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46226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46226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46226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46226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46226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46226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46226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46226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46226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46226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46226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46226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46226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46226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2026-07-23T01:42:45Z</dcterms:created>
  <dcterms:modified xmlns:dcterms="http://purl.org/dc/terms/" xmlns:xsi="http://www.w3.org/2001/XMLSchema-instance" xsi:type="dcterms:W3CDTF">2026-07-23T01:42:45Z</dcterms:modified>
</cp:coreProperties>
</file>