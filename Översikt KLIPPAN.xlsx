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46315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46315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46315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46315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46315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46315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15788-2026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46315</v>
      </c>
      <c r="F10" t="inlineStr">
        <is>
          <t>SKÅNE LÄN</t>
        </is>
      </c>
      <c r="G10" t="inlineStr">
        <is>
          <t>KLIPPAN</t>
        </is>
      </c>
      <c r="I10" t="n">
        <v>3.9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Entita
Gulsparv
Rödvingetrast
Spillkråka
Skogsduva</t>
        </is>
      </c>
      <c r="W10">
        <f>HYPERLINK("https://klasma.github.io/Logging_1276/artfynd/A 15788-2026 artfynd.xlsx", "A 15788-2026")</f>
        <v/>
      </c>
      <c r="X10">
        <f>HYPERLINK("https://klasma.github.io/Logging_1276/kartor/A 15788-2026 karta.png", "A 15788-2026")</f>
        <v/>
      </c>
      <c r="Y10">
        <f>HYPERLINK("https://klasma.github.io/Logging_1276/kartor_geotiff/A 15788-2026 georefererad karta.tif", "A 15788-2026")</f>
        <v/>
      </c>
      <c r="AA10">
        <f>HYPERLINK("https://klasma.github.io/Logging_1276/klagomål/A 15788-2026 FSC-klagomål.docx", "A 15788-2026")</f>
        <v/>
      </c>
      <c r="AB10">
        <f>HYPERLINK("https://klasma.github.io/Logging_1276/klagomålsmail/A 15788-2026 FSC-klagomål mail.docx", "A 15788-2026")</f>
        <v/>
      </c>
      <c r="AC10">
        <f>HYPERLINK("https://klasma.github.io/Logging_1276/tillsyn/A 15788-2026 tillsynsbegäran.docx", "A 15788-2026")</f>
        <v/>
      </c>
      <c r="AD10">
        <f>HYPERLINK("https://klasma.github.io/Logging_1276/tillsynsmail/A 15788-2026 tillsynsbegäran mail.docx", "A 15788-2026")</f>
        <v/>
      </c>
      <c r="AE10">
        <f>HYPERLINK("https://klasma.github.io/Logging_1276/fåglar/A 15788-2026 prioriterade fågelarter.docx", "A 15788-2026")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46315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1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Vedlavklubba
Entita
Stor sotdyna
Sydlig sotticka
Gulnål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46315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46315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46315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46315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46315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46315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46315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46315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46315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46315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46315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46315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46315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46315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46315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46315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59769-2025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45992</v>
      </c>
      <c r="E28" s="1" t="n">
        <v>46315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1.4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Entita
Kungsfågel</t>
        </is>
      </c>
      <c r="W28">
        <f>HYPERLINK("https://klasma.github.io/Logging_1276/artfynd/A 59769-2025 artfynd.xlsx", "A 59769-2025")</f>
        <v/>
      </c>
      <c r="X28">
        <f>HYPERLINK("https://klasma.github.io/Logging_1276/kartor/A 59769-2025 karta.png", "A 59769-2025")</f>
        <v/>
      </c>
      <c r="Y28">
        <f>HYPERLINK("https://klasma.github.io/Logging_1276/kartor_geotiff/A 59769-2025 georefererad karta.tif", "A 59769-2025")</f>
        <v/>
      </c>
      <c r="AA28">
        <f>HYPERLINK("https://klasma.github.io/Logging_1276/klagomål/A 59769-2025 FSC-klagomål.docx", "A 59769-2025")</f>
        <v/>
      </c>
      <c r="AB28">
        <f>HYPERLINK("https://klasma.github.io/Logging_1276/klagomålsmail/A 59769-2025 FSC-klagomål mail.docx", "A 59769-2025")</f>
        <v/>
      </c>
      <c r="AC28">
        <f>HYPERLINK("https://klasma.github.io/Logging_1276/tillsyn/A 59769-2025 tillsynsbegäran.docx", "A 59769-2025")</f>
        <v/>
      </c>
      <c r="AD28">
        <f>HYPERLINK("https://klasma.github.io/Logging_1276/tillsynsmail/A 59769-2025 tillsynsbegäran mail.docx", "A 59769-2025")</f>
        <v/>
      </c>
      <c r="AE28">
        <f>HYPERLINK("https://klasma.github.io/Logging_1276/fåglar/A 59769-2025 prioriterade fågelarter.docx", "A 59769-2025")</f>
        <v/>
      </c>
    </row>
    <row r="29" ht="15" customHeight="1">
      <c r="A29" t="inlineStr">
        <is>
          <t>A 20702-2023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45058</v>
      </c>
      <c r="E29" s="1" t="n">
        <v>46315</v>
      </c>
      <c r="F29" t="inlineStr">
        <is>
          <t>SKÅNE LÄN</t>
        </is>
      </c>
      <c r="G29" t="inlineStr">
        <is>
          <t>KLIPPAN</t>
        </is>
      </c>
      <c r="I29" t="n">
        <v>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Svinrot
Grönvit nattviol</t>
        </is>
      </c>
      <c r="W29">
        <f>HYPERLINK("https://klasma.github.io/Logging_1276/artfynd/A 20702-2023 artfynd.xlsx", "A 20702-2023")</f>
        <v/>
      </c>
      <c r="X29">
        <f>HYPERLINK("https://klasma.github.io/Logging_1276/kartor/A 20702-2023 karta.png", "A 20702-2023")</f>
        <v/>
      </c>
      <c r="Y29">
        <f>HYPERLINK("https://klasma.github.io/Logging_1276/kartor_geotiff/A 20702-2023 georefererad karta.tif", "A 20702-2023")</f>
        <v/>
      </c>
      <c r="AA29">
        <f>HYPERLINK("https://klasma.github.io/Logging_1276/klagomål/A 20702-2023 FSC-klagomål.docx", "A 20702-2023")</f>
        <v/>
      </c>
      <c r="AB29">
        <f>HYPERLINK("https://klasma.github.io/Logging_1276/klagomålsmail/A 20702-2023 FSC-klagomål mail.docx", "A 20702-2023")</f>
        <v/>
      </c>
      <c r="AC29">
        <f>HYPERLINK("https://klasma.github.io/Logging_1276/tillsyn/A 20702-2023 tillsynsbegäran.docx", "A 20702-2023")</f>
        <v/>
      </c>
      <c r="AD29">
        <f>HYPERLINK("https://klasma.github.io/Logging_1276/tillsynsmail/A 20702-2023 tillsynsbegäran mail.docx", "A 20702-2023")</f>
        <v/>
      </c>
    </row>
    <row r="30" ht="15" customHeight="1">
      <c r="A30" t="inlineStr">
        <is>
          <t>A 30240-2026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46315</v>
      </c>
      <c r="F30" t="inlineStr">
        <is>
          <t>SKÅNE LÄN</t>
        </is>
      </c>
      <c r="G30" t="inlineStr">
        <is>
          <t>KLIPPAN</t>
        </is>
      </c>
      <c r="H30" t="inlineStr">
        <is>
          <t>Övriga Aktiebolag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Ängskovall</t>
        </is>
      </c>
      <c r="W30">
        <f>HYPERLINK("https://klasma.github.io/Logging_1276/artfynd/A 30240-2026 artfynd.xlsx", "A 30240-2026")</f>
        <v/>
      </c>
      <c r="X30">
        <f>HYPERLINK("https://klasma.github.io/Logging_1276/kartor/A 30240-2026 karta.png", "A 30240-2026")</f>
        <v/>
      </c>
      <c r="Y30">
        <f>HYPERLINK("https://klasma.github.io/Logging_1276/kartor_geotiff/A 30240-2026 georefererad karta.tif", "A 30240-2026")</f>
        <v/>
      </c>
      <c r="AA30">
        <f>HYPERLINK("https://klasma.github.io/Logging_1276/klagomål/A 30240-2026 FSC-klagomål.docx", "A 30240-2026")</f>
        <v/>
      </c>
      <c r="AB30">
        <f>HYPERLINK("https://klasma.github.io/Logging_1276/klagomålsmail/A 30240-2026 FSC-klagomål mail.docx", "A 30240-2026")</f>
        <v/>
      </c>
      <c r="AC30">
        <f>HYPERLINK("https://klasma.github.io/Logging_1276/tillsyn/A 30240-2026 tillsynsbegäran.docx", "A 30240-2026")</f>
        <v/>
      </c>
      <c r="AD30">
        <f>HYPERLINK("https://klasma.github.io/Logging_1276/tillsynsmail/A 30240-2026 tillsynsbegäran mail.docx", "A 30240-2026")</f>
        <v/>
      </c>
      <c r="AE30">
        <f>HYPERLINK("https://klasma.github.io/Logging_1276/fåglar/A 30240-2026 prioriterade fågelarter.docx", "A 30240-2026")</f>
        <v/>
      </c>
    </row>
    <row r="31" ht="15" customHeight="1">
      <c r="A31" t="inlineStr">
        <is>
          <t>A 29275-2026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46315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Mindre hackspett
Blemlavsklotter</t>
        </is>
      </c>
      <c r="W31">
        <f>HYPERLINK("https://klasma.github.io/Logging_1276/artfynd/A 29275-2026 artfynd.xlsx", "A 29275-2026")</f>
        <v/>
      </c>
      <c r="X31">
        <f>HYPERLINK("https://klasma.github.io/Logging_1276/kartor/A 29275-2026 karta.png", "A 29275-2026")</f>
        <v/>
      </c>
      <c r="Y31">
        <f>HYPERLINK("https://klasma.github.io/Logging_1276/kartor_geotiff/A 29275-2026 georefererad karta.tif", "A 29275-2026")</f>
        <v/>
      </c>
      <c r="AA31">
        <f>HYPERLINK("https://klasma.github.io/Logging_1276/klagomål/A 29275-2026 FSC-klagomål.docx", "A 29275-2026")</f>
        <v/>
      </c>
      <c r="AB31">
        <f>HYPERLINK("https://klasma.github.io/Logging_1276/klagomålsmail/A 29275-2026 FSC-klagomål mail.docx", "A 29275-2026")</f>
        <v/>
      </c>
      <c r="AC31">
        <f>HYPERLINK("https://klasma.github.io/Logging_1276/tillsyn/A 29275-2026 tillsynsbegäran.docx", "A 29275-2026")</f>
        <v/>
      </c>
      <c r="AD31">
        <f>HYPERLINK("https://klasma.github.io/Logging_1276/tillsynsmail/A 29275-2026 tillsynsbegäran mail.docx", "A 29275-2026")</f>
        <v/>
      </c>
      <c r="AE31">
        <f>HYPERLINK("https://klasma.github.io/Logging_1276/fåglar/A 29275-2026 prioriterade fågelarter.docx", "A 29275-2026")</f>
        <v/>
      </c>
    </row>
    <row r="32" ht="15" customHeight="1">
      <c r="A32" t="inlineStr">
        <is>
          <t>A 39440-2026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46288</v>
      </c>
      <c r="E32" s="1" t="n">
        <v>46315</v>
      </c>
      <c r="F32" t="inlineStr">
        <is>
          <t>SKÅNE LÄN</t>
        </is>
      </c>
      <c r="G32" t="inlineStr">
        <is>
          <t>KLIPPAN</t>
        </is>
      </c>
      <c r="I32" t="n">
        <v>0.7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4</v>
      </c>
      <c r="V32" s="2" t="inlineStr">
        <is>
          <t>Entita
Vanlig groda</t>
        </is>
      </c>
      <c r="W32">
        <f>HYPERLINK("https://klasma.github.io/Logging_1276/artfynd/A 39440-2026 artfynd.xlsx", "A 39440-2026")</f>
        <v/>
      </c>
      <c r="X32">
        <f>HYPERLINK("https://klasma.github.io/Logging_1276/kartor/A 39440-2026 karta.png", "A 39440-2026")</f>
        <v/>
      </c>
      <c r="Y32">
        <f>HYPERLINK("https://klasma.github.io/Logging_1276/kartor_geotiff/A 39440-2026 georefererad karta.tif", "A 39440-2026")</f>
        <v/>
      </c>
      <c r="AA32">
        <f>HYPERLINK("https://klasma.github.io/Logging_1276/klagomål/A 39440-2026 FSC-klagomål.docx", "A 39440-2026")</f>
        <v/>
      </c>
      <c r="AB32">
        <f>HYPERLINK("https://klasma.github.io/Logging_1276/klagomålsmail/A 39440-2026 FSC-klagomål mail.docx", "A 39440-2026")</f>
        <v/>
      </c>
      <c r="AC32">
        <f>HYPERLINK("https://klasma.github.io/Logging_1276/tillsyn/A 39440-2026 tillsynsbegäran.docx", "A 39440-2026")</f>
        <v/>
      </c>
      <c r="AD32">
        <f>HYPERLINK("https://klasma.github.io/Logging_1276/tillsynsmail/A 39440-2026 tillsynsbegäran mail.docx", "A 39440-2026")</f>
        <v/>
      </c>
      <c r="AE32">
        <f>HYPERLINK("https://klasma.github.io/Logging_1276/fåglar/A 39440-2026 prioriterade fågelarter.docx", "A 39440-2026")</f>
        <v/>
      </c>
    </row>
    <row r="33" ht="15" customHeight="1">
      <c r="A33" t="inlineStr">
        <is>
          <t>A 5797-2024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46315</v>
      </c>
      <c r="F33" t="inlineStr">
        <is>
          <t>SKÅNE LÄN</t>
        </is>
      </c>
      <c r="G33" t="inlineStr">
        <is>
          <t>KLIPPAN</t>
        </is>
      </c>
      <c r="I33" t="n">
        <v>1.8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Entita
Gröngöling</t>
        </is>
      </c>
      <c r="W33">
        <f>HYPERLINK("https://klasma.github.io/Logging_1276/artfynd/A 5797-2024 artfynd.xlsx", "A 5797-2024")</f>
        <v/>
      </c>
      <c r="X33">
        <f>HYPERLINK("https://klasma.github.io/Logging_1276/kartor/A 5797-2024 karta.png", "A 5797-2024")</f>
        <v/>
      </c>
      <c r="Y33">
        <f>HYPERLINK("https://klasma.github.io/Logging_1276/kartor_geotiff/A 5797-2024 georefererad karta.tif", "A 5797-2024")</f>
        <v/>
      </c>
      <c r="AA33">
        <f>HYPERLINK("https://klasma.github.io/Logging_1276/klagomål/A 5797-2024 FSC-klagomål.docx", "A 5797-2024")</f>
        <v/>
      </c>
      <c r="AB33">
        <f>HYPERLINK("https://klasma.github.io/Logging_1276/klagomålsmail/A 5797-2024 FSC-klagomål mail.docx", "A 5797-2024")</f>
        <v/>
      </c>
      <c r="AC33">
        <f>HYPERLINK("https://klasma.github.io/Logging_1276/tillsyn/A 5797-2024 tillsynsbegäran.docx", "A 5797-2024")</f>
        <v/>
      </c>
      <c r="AD33">
        <f>HYPERLINK("https://klasma.github.io/Logging_1276/tillsynsmail/A 5797-2024 tillsynsbegäran mail.docx", "A 5797-2024")</f>
        <v/>
      </c>
      <c r="AE33">
        <f>HYPERLINK("https://klasma.github.io/Logging_1276/fåglar/A 5797-2024 prioriterade fågelarter.docx", "A 5797-2024")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46315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46315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46315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46315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46315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14892-2023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45015</v>
      </c>
      <c r="E39" s="1" t="n">
        <v>46315</v>
      </c>
      <c r="F39" t="inlineStr">
        <is>
          <t>SKÅNE LÄN</t>
        </is>
      </c>
      <c r="G39" t="inlineStr">
        <is>
          <t>KLIPPAN</t>
        </is>
      </c>
      <c r="I39" t="n">
        <v>2.7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14892-2023 artfynd.xlsx", "A 14892-2023")</f>
        <v/>
      </c>
      <c r="X39">
        <f>HYPERLINK("https://klasma.github.io/Logging_1276/kartor/A 14892-2023 karta.png", "A 14892-2023")</f>
        <v/>
      </c>
      <c r="Y39">
        <f>HYPERLINK("https://klasma.github.io/Logging_1276/kartor_geotiff/A 14892-2023 georefererad karta.tif", "A 14892-2023")</f>
        <v/>
      </c>
      <c r="AA39">
        <f>HYPERLINK("https://klasma.github.io/Logging_1276/klagomål/A 14892-2023 FSC-klagomål.docx", "A 14892-2023")</f>
        <v/>
      </c>
      <c r="AB39">
        <f>HYPERLINK("https://klasma.github.io/Logging_1276/klagomålsmail/A 14892-2023 FSC-klagomål mail.docx", "A 14892-2023")</f>
        <v/>
      </c>
      <c r="AC39">
        <f>HYPERLINK("https://klasma.github.io/Logging_1276/tillsyn/A 14892-2023 tillsynsbegäran.docx", "A 14892-2023")</f>
        <v/>
      </c>
      <c r="AD39">
        <f>HYPERLINK("https://klasma.github.io/Logging_1276/tillsynsmail/A 14892-2023 tillsynsbegäran mail.docx", "A 14892-2023")</f>
        <v/>
      </c>
      <c r="AE39">
        <f>HYPERLINK("https://klasma.github.io/Logging_1276/fåglar/A 14892-2023 prioriterade fågelarter.docx", "A 14892-2023")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46315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61058-2025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46315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HYPERLINK("https://klasma.github.io/Logging_1276/artfynd/A 61058-2025 artfynd.xlsx", "A 61058-2025")</f>
        <v/>
      </c>
      <c r="X41">
        <f>HYPERLINK("https://klasma.github.io/Logging_1276/kartor/A 61058-2025 karta.png", "A 61058-2025")</f>
        <v/>
      </c>
      <c r="Y41">
        <f>HYPERLINK("https://klasma.github.io/Logging_1276/kartor_geotiff/A 61058-2025 georefererad karta.tif", "A 61058-2025")</f>
        <v/>
      </c>
      <c r="AA41">
        <f>HYPERLINK("https://klasma.github.io/Logging_1276/klagomål/A 61058-2025 FSC-klagomål.docx", "A 61058-2025")</f>
        <v/>
      </c>
      <c r="AB41">
        <f>HYPERLINK("https://klasma.github.io/Logging_1276/klagomålsmail/A 61058-2025 FSC-klagomål mail.docx", "A 61058-2025")</f>
        <v/>
      </c>
      <c r="AC41">
        <f>HYPERLINK("https://klasma.github.io/Logging_1276/tillsyn/A 61058-2025 tillsynsbegäran.docx", "A 61058-2025")</f>
        <v/>
      </c>
      <c r="AD41">
        <f>HYPERLINK("https://klasma.github.io/Logging_1276/tillsynsmail/A 61058-2025 tillsynsbegäran mail.docx", "A 61058-2025")</f>
        <v/>
      </c>
    </row>
    <row r="42" ht="15" customHeight="1">
      <c r="A42" t="inlineStr">
        <is>
          <t>A 46147-2022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46315</v>
      </c>
      <c r="F42" t="inlineStr">
        <is>
          <t>SKÅNE LÄN</t>
        </is>
      </c>
      <c r="G42" t="inlineStr">
        <is>
          <t>KLIPPAN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Västlig hakmossa</t>
        </is>
      </c>
      <c r="W42">
        <f>HYPERLINK("https://klasma.github.io/Logging_1276/artfynd/A 46147-2022 artfynd.xlsx", "A 46147-2022")</f>
        <v/>
      </c>
      <c r="X42">
        <f>HYPERLINK("https://klasma.github.io/Logging_1276/kartor/A 46147-2022 karta.png", "A 46147-2022")</f>
        <v/>
      </c>
      <c r="Y42">
        <f>HYPERLINK("https://klasma.github.io/Logging_1276/kartor_geotiff/A 46147-2022 georefererad karta.tif", "A 46147-2022")</f>
        <v/>
      </c>
      <c r="AA42">
        <f>HYPERLINK("https://klasma.github.io/Logging_1276/klagomål/A 46147-2022 FSC-klagomål.docx", "A 46147-2022")</f>
        <v/>
      </c>
      <c r="AB42">
        <f>HYPERLINK("https://klasma.github.io/Logging_1276/klagomålsmail/A 46147-2022 FSC-klagomål mail.docx", "A 46147-2022")</f>
        <v/>
      </c>
      <c r="AC42">
        <f>HYPERLINK("https://klasma.github.io/Logging_1276/tillsyn/A 46147-2022 tillsynsbegäran.docx", "A 46147-2022")</f>
        <v/>
      </c>
      <c r="AD42">
        <f>HYPERLINK("https://klasma.github.io/Logging_1276/tillsynsmail/A 46147-2022 tillsynsbegäran mail.docx", "A 46147-2022")</f>
        <v/>
      </c>
    </row>
    <row r="43" ht="15" customHeight="1">
      <c r="A43" t="inlineStr">
        <is>
          <t>A 21788-2026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46315</v>
      </c>
      <c r="F43" t="inlineStr">
        <is>
          <t>SKÅNE LÄN</t>
        </is>
      </c>
      <c r="G43" t="inlineStr">
        <is>
          <t>KLIPPAN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Bäckbräsma</t>
        </is>
      </c>
      <c r="W43">
        <f>HYPERLINK("https://klasma.github.io/Logging_1276/artfynd/A 21788-2026 artfynd.xlsx", "A 21788-2026")</f>
        <v/>
      </c>
      <c r="X43">
        <f>HYPERLINK("https://klasma.github.io/Logging_1276/kartor/A 21788-2026 karta.png", "A 21788-2026")</f>
        <v/>
      </c>
      <c r="Y43">
        <f>HYPERLINK("https://klasma.github.io/Logging_1276/kartor_geotiff/A 21788-2026 georefererad karta.tif", "A 21788-2026")</f>
        <v/>
      </c>
      <c r="AA43">
        <f>HYPERLINK("https://klasma.github.io/Logging_1276/klagomål/A 21788-2026 FSC-klagomål.docx", "A 21788-2026")</f>
        <v/>
      </c>
      <c r="AB43">
        <f>HYPERLINK("https://klasma.github.io/Logging_1276/klagomålsmail/A 21788-2026 FSC-klagomål mail.docx", "A 21788-2026")</f>
        <v/>
      </c>
      <c r="AC43">
        <f>HYPERLINK("https://klasma.github.io/Logging_1276/tillsyn/A 21788-2026 tillsynsbegäran.docx", "A 21788-2026")</f>
        <v/>
      </c>
      <c r="AD43">
        <f>HYPERLINK("https://klasma.github.io/Logging_1276/tillsynsmail/A 21788-2026 tillsynsbegäran mail.docx", "A 21788-2026")</f>
        <v/>
      </c>
    </row>
    <row r="44" ht="15" customHeight="1">
      <c r="A44" t="inlineStr">
        <is>
          <t>A 6446-2026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46315</v>
      </c>
      <c r="F44" t="inlineStr">
        <is>
          <t>SKÅNE LÄN</t>
        </is>
      </c>
      <c r="G44" t="inlineStr">
        <is>
          <t>KLIPPAN</t>
        </is>
      </c>
      <c r="I44" t="n">
        <v>0.5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HYPERLINK("https://klasma.github.io/Logging_1276/artfynd/A 6446-2026 artfynd.xlsx", "A 6446-2026")</f>
        <v/>
      </c>
      <c r="X44">
        <f>HYPERLINK("https://klasma.github.io/Logging_1276/kartor/A 6446-2026 karta.png", "A 6446-2026")</f>
        <v/>
      </c>
      <c r="Y44">
        <f>HYPERLINK("https://klasma.github.io/Logging_1276/kartor_geotiff/A 6446-2026 georefererad karta.tif", "A 6446-2026")</f>
        <v/>
      </c>
      <c r="AA44">
        <f>HYPERLINK("https://klasma.github.io/Logging_1276/klagomål/A 6446-2026 FSC-klagomål.docx", "A 6446-2026")</f>
        <v/>
      </c>
      <c r="AB44">
        <f>HYPERLINK("https://klasma.github.io/Logging_1276/klagomålsmail/A 6446-2026 FSC-klagomål mail.docx", "A 6446-2026")</f>
        <v/>
      </c>
      <c r="AC44">
        <f>HYPERLINK("https://klasma.github.io/Logging_1276/tillsyn/A 6446-2026 tillsynsbegäran.docx", "A 6446-2026")</f>
        <v/>
      </c>
      <c r="AD44">
        <f>HYPERLINK("https://klasma.github.io/Logging_1276/tillsynsmail/A 6446-2026 tillsynsbegäran mail.docx", "A 6446-2026")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46315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31279-2026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46315</v>
      </c>
      <c r="F46" t="inlineStr">
        <is>
          <t>SKÅNE LÄN</t>
        </is>
      </c>
      <c r="G46" t="inlineStr">
        <is>
          <t>KLIPPAN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Dvärghäxört</t>
        </is>
      </c>
      <c r="W46">
        <f>HYPERLINK("https://klasma.github.io/Logging_1276/artfynd/A 31279-2026 artfynd.xlsx", "A 31279-2026")</f>
        <v/>
      </c>
      <c r="X46">
        <f>HYPERLINK("https://klasma.github.io/Logging_1276/kartor/A 31279-2026 karta.png", "A 31279-2026")</f>
        <v/>
      </c>
      <c r="Y46">
        <f>HYPERLINK("https://klasma.github.io/Logging_1276/kartor_geotiff/A 31279-2026 georefererad karta.tif", "A 31279-2026")</f>
        <v/>
      </c>
      <c r="AA46">
        <f>HYPERLINK("https://klasma.github.io/Logging_1276/klagomål/A 31279-2026 FSC-klagomål.docx", "A 31279-2026")</f>
        <v/>
      </c>
      <c r="AB46">
        <f>HYPERLINK("https://klasma.github.io/Logging_1276/klagomålsmail/A 31279-2026 FSC-klagomål mail.docx", "A 31279-2026")</f>
        <v/>
      </c>
      <c r="AC46">
        <f>HYPERLINK("https://klasma.github.io/Logging_1276/tillsyn/A 31279-2026 tillsynsbegäran.docx", "A 31279-2026")</f>
        <v/>
      </c>
      <c r="AD46">
        <f>HYPERLINK("https://klasma.github.io/Logging_1276/tillsynsmail/A 31279-2026 tillsynsbegäran mail.docx", "A 31279-2026")</f>
        <v/>
      </c>
    </row>
    <row r="47" ht="15" customHeight="1">
      <c r="A47" t="inlineStr">
        <is>
          <t>A 37224-2026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46274</v>
      </c>
      <c r="E47" s="1" t="n">
        <v>46315</v>
      </c>
      <c r="F47" t="inlineStr">
        <is>
          <t>SKÅNE LÄN</t>
        </is>
      </c>
      <c r="G47" t="inlineStr">
        <is>
          <t>KLIPPAN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Vanlig groda</t>
        </is>
      </c>
      <c r="W47">
        <f>HYPERLINK("https://klasma.github.io/Logging_1276/artfynd/A 37224-2026 artfynd.xlsx", "A 37224-2026")</f>
        <v/>
      </c>
      <c r="X47">
        <f>HYPERLINK("https://klasma.github.io/Logging_1276/kartor/A 37224-2026 karta.png", "A 37224-2026")</f>
        <v/>
      </c>
      <c r="Y47">
        <f>HYPERLINK("https://klasma.github.io/Logging_1276/kartor_geotiff/A 37224-2026 georefererad karta.tif", "A 37224-2026")</f>
        <v/>
      </c>
      <c r="AA47">
        <f>HYPERLINK("https://klasma.github.io/Logging_1276/klagomål/A 37224-2026 FSC-klagomål.docx", "A 37224-2026")</f>
        <v/>
      </c>
      <c r="AB47">
        <f>HYPERLINK("https://klasma.github.io/Logging_1276/klagomålsmail/A 37224-2026 FSC-klagomål mail.docx", "A 37224-2026")</f>
        <v/>
      </c>
      <c r="AC47">
        <f>HYPERLINK("https://klasma.github.io/Logging_1276/tillsyn/A 37224-2026 tillsynsbegäran.docx", "A 37224-2026")</f>
        <v/>
      </c>
      <c r="AD47">
        <f>HYPERLINK("https://klasma.github.io/Logging_1276/tillsynsmail/A 37224-2026 tillsynsbegäran mail.docx", "A 37224-2026")</f>
        <v/>
      </c>
    </row>
    <row r="48" ht="15" customHeight="1">
      <c r="A48" t="inlineStr">
        <is>
          <t>A 51276-2024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46315</v>
      </c>
      <c r="F48" t="inlineStr">
        <is>
          <t>SKÅNE LÄN</t>
        </is>
      </c>
      <c r="G48" t="inlineStr">
        <is>
          <t>KLIPPAN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Rutskinn</t>
        </is>
      </c>
      <c r="W48">
        <f>HYPERLINK("https://klasma.github.io/Logging_1276/artfynd/A 51276-2024 artfynd.xlsx", "A 51276-2024")</f>
        <v/>
      </c>
      <c r="X48">
        <f>HYPERLINK("https://klasma.github.io/Logging_1276/kartor/A 51276-2024 karta.png", "A 51276-2024")</f>
        <v/>
      </c>
      <c r="Y48">
        <f>HYPERLINK("https://klasma.github.io/Logging_1276/kartor_geotiff/A 51276-2024 georefererad karta.tif", "A 51276-2024")</f>
        <v/>
      </c>
      <c r="AA48">
        <f>HYPERLINK("https://klasma.github.io/Logging_1276/klagomål/A 51276-2024 FSC-klagomål.docx", "A 51276-2024")</f>
        <v/>
      </c>
      <c r="AB48">
        <f>HYPERLINK("https://klasma.github.io/Logging_1276/klagomålsmail/A 51276-2024 FSC-klagomål mail.docx", "A 51276-2024")</f>
        <v/>
      </c>
      <c r="AC48">
        <f>HYPERLINK("https://klasma.github.io/Logging_1276/tillsyn/A 51276-2024 tillsynsbegäran.docx", "A 51276-2024")</f>
        <v/>
      </c>
      <c r="AD48">
        <f>HYPERLINK("https://klasma.github.io/Logging_1276/tillsynsmail/A 51276-2024 tillsynsbegäran mail.docx", "A 51276-2024")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46315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46315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46315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46315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46315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46315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46315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46315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46315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46315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46315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46315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46315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46315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46315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44608</v>
      </c>
      <c r="E65" s="1" t="n">
        <v>46315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44575</v>
      </c>
      <c r="E66" s="1" t="n">
        <v>46315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46315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46315</v>
      </c>
      <c r="F68" t="inlineStr">
        <is>
          <t>SKÅNE LÄN</t>
        </is>
      </c>
      <c r="G68" t="inlineStr">
        <is>
          <t>KLIPPAN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46315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46315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46315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46315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46315</v>
      </c>
      <c r="F73" t="inlineStr">
        <is>
          <t>SKÅNE LÄN</t>
        </is>
      </c>
      <c r="G73" t="inlineStr">
        <is>
          <t>KLIPPAN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46315</v>
      </c>
      <c r="F74" t="inlineStr">
        <is>
          <t>SKÅNE LÄN</t>
        </is>
      </c>
      <c r="G74" t="inlineStr">
        <is>
          <t>KLIPPAN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45714</v>
      </c>
      <c r="E75" s="1" t="n">
        <v>46315</v>
      </c>
      <c r="F75" t="inlineStr">
        <is>
          <t>SKÅNE LÄN</t>
        </is>
      </c>
      <c r="G75" t="inlineStr">
        <is>
          <t>KLIPPAN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46315</v>
      </c>
      <c r="F76" t="inlineStr">
        <is>
          <t>SKÅNE LÄN</t>
        </is>
      </c>
      <c r="G76" t="inlineStr">
        <is>
          <t>KLIPPAN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46315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46315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46315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46315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55833-2023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45239</v>
      </c>
      <c r="E81" s="1" t="n">
        <v>46315</v>
      </c>
      <c r="F81" t="inlineStr">
        <is>
          <t>SKÅNE LÄN</t>
        </is>
      </c>
      <c r="G81" t="inlineStr">
        <is>
          <t>KLIPPAN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46315</v>
      </c>
      <c r="F82" t="inlineStr">
        <is>
          <t>SKÅNE LÄN</t>
        </is>
      </c>
      <c r="G82" t="inlineStr">
        <is>
          <t>KLIPPAN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46315</v>
      </c>
      <c r="F83" t="inlineStr">
        <is>
          <t>SKÅNE LÄN</t>
        </is>
      </c>
      <c r="G83" t="inlineStr">
        <is>
          <t>KLIPPAN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23260-2023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46315</v>
      </c>
      <c r="F84" t="inlineStr">
        <is>
          <t>SKÅNE LÄN</t>
        </is>
      </c>
      <c r="G84" t="inlineStr">
        <is>
          <t>KLIPPAN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46315</v>
      </c>
      <c r="F85" t="inlineStr">
        <is>
          <t>SKÅNE LÄN</t>
        </is>
      </c>
      <c r="G85" t="inlineStr">
        <is>
          <t>KLIPPAN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46315</v>
      </c>
      <c r="F86" t="inlineStr">
        <is>
          <t>SKÅNE LÄN</t>
        </is>
      </c>
      <c r="G86" t="inlineStr">
        <is>
          <t>KLIPPAN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46315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45641-2022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44845</v>
      </c>
      <c r="E88" s="1" t="n">
        <v>46315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46315</v>
      </c>
      <c r="F89" t="inlineStr">
        <is>
          <t>SKÅNE LÄN</t>
        </is>
      </c>
      <c r="G89" t="inlineStr">
        <is>
          <t>KLIPPAN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45739</v>
      </c>
      <c r="E90" s="1" t="n">
        <v>46315</v>
      </c>
      <c r="F90" t="inlineStr">
        <is>
          <t>SKÅNE LÄN</t>
        </is>
      </c>
      <c r="G90" t="inlineStr">
        <is>
          <t>KLIPPAN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46315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45519</v>
      </c>
      <c r="E92" s="1" t="n">
        <v>46315</v>
      </c>
      <c r="F92" t="inlineStr">
        <is>
          <t>SKÅNE LÄN</t>
        </is>
      </c>
      <c r="G92" t="inlineStr">
        <is>
          <t>KLIPPAN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46315</v>
      </c>
      <c r="F93" t="inlineStr">
        <is>
          <t>SKÅNE LÄN</t>
        </is>
      </c>
      <c r="G93" t="inlineStr">
        <is>
          <t>KLIPPAN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44928</v>
      </c>
      <c r="E94" s="1" t="n">
        <v>46315</v>
      </c>
      <c r="F94" t="inlineStr">
        <is>
          <t>SKÅNE LÄN</t>
        </is>
      </c>
      <c r="G94" t="inlineStr">
        <is>
          <t>KLIPPAN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46315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45562</v>
      </c>
      <c r="E96" s="1" t="n">
        <v>46315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45013</v>
      </c>
      <c r="E97" s="1" t="n">
        <v>46315</v>
      </c>
      <c r="F97" t="inlineStr">
        <is>
          <t>SKÅNE LÄN</t>
        </is>
      </c>
      <c r="G97" t="inlineStr">
        <is>
          <t>KLIPPAN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46315</v>
      </c>
      <c r="F98" t="inlineStr">
        <is>
          <t>SKÅNE LÄN</t>
        </is>
      </c>
      <c r="G98" t="inlineStr">
        <is>
          <t>KLIPPAN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46315</v>
      </c>
      <c r="F99" t="inlineStr">
        <is>
          <t>SKÅNE LÄN</t>
        </is>
      </c>
      <c r="G99" t="inlineStr">
        <is>
          <t>KLIPPAN</t>
        </is>
      </c>
      <c r="I99" t="n">
        <v>9.699999999999999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45260</v>
      </c>
      <c r="E100" s="1" t="n">
        <v>46315</v>
      </c>
      <c r="F100" t="inlineStr">
        <is>
          <t>SKÅNE LÄN</t>
        </is>
      </c>
      <c r="G100" t="inlineStr">
        <is>
          <t>KLIPPAN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46315</v>
      </c>
      <c r="F101" t="inlineStr">
        <is>
          <t>SKÅNE LÄN</t>
        </is>
      </c>
      <c r="G101" t="inlineStr">
        <is>
          <t>KLIPPAN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60791-2023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45260</v>
      </c>
      <c r="E102" s="1" t="n">
        <v>46315</v>
      </c>
      <c r="F102" t="inlineStr">
        <is>
          <t>SKÅNE LÄN</t>
        </is>
      </c>
      <c r="G102" t="inlineStr">
        <is>
          <t>KLIPPAN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46315</v>
      </c>
      <c r="F103" t="inlineStr">
        <is>
          <t>SKÅNE LÄN</t>
        </is>
      </c>
      <c r="G103" t="inlineStr">
        <is>
          <t>KLIPPAN</t>
        </is>
      </c>
      <c r="H103" t="inlineStr">
        <is>
          <t>Övriga Aktiebolag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46315</v>
      </c>
      <c r="F104" t="inlineStr">
        <is>
          <t>SKÅNE LÄN</t>
        </is>
      </c>
      <c r="G104" t="inlineStr">
        <is>
          <t>KLIPPAN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46315</v>
      </c>
      <c r="F105" t="inlineStr">
        <is>
          <t>SKÅNE LÄN</t>
        </is>
      </c>
      <c r="G105" t="inlineStr">
        <is>
          <t>KLIPPAN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45055</v>
      </c>
      <c r="E106" s="1" t="n">
        <v>46315</v>
      </c>
      <c r="F106" t="inlineStr">
        <is>
          <t>SKÅNE LÄN</t>
        </is>
      </c>
      <c r="G106" t="inlineStr">
        <is>
          <t>KLIPPAN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46315</v>
      </c>
      <c r="F107" t="inlineStr">
        <is>
          <t>SKÅNE LÄN</t>
        </is>
      </c>
      <c r="G107" t="inlineStr">
        <is>
          <t>KLIPPAN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46315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46315</v>
      </c>
      <c r="F109" t="inlineStr">
        <is>
          <t>SKÅNE LÄN</t>
        </is>
      </c>
      <c r="G109" t="inlineStr">
        <is>
          <t>KLIPPAN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46315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46315</v>
      </c>
      <c r="F111" t="inlineStr">
        <is>
          <t>SKÅNE LÄN</t>
        </is>
      </c>
      <c r="G111" t="inlineStr">
        <is>
          <t>KLIPPAN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46315</v>
      </c>
      <c r="F112" t="inlineStr">
        <is>
          <t>SKÅNE LÄN</t>
        </is>
      </c>
      <c r="G112" t="inlineStr">
        <is>
          <t>KLIPPAN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46315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45013</v>
      </c>
      <c r="E114" s="1" t="n">
        <v>46315</v>
      </c>
      <c r="F114" t="inlineStr">
        <is>
          <t>SKÅNE LÄN</t>
        </is>
      </c>
      <c r="G114" t="inlineStr">
        <is>
          <t>KLIPPAN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46315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46315</v>
      </c>
      <c r="F116" t="inlineStr">
        <is>
          <t>SKÅNE LÄN</t>
        </is>
      </c>
      <c r="G116" t="inlineStr">
        <is>
          <t>KLIPPAN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45847</v>
      </c>
      <c r="E117" s="1" t="n">
        <v>46315</v>
      </c>
      <c r="F117" t="inlineStr">
        <is>
          <t>SKÅNE LÄN</t>
        </is>
      </c>
      <c r="G117" t="inlineStr">
        <is>
          <t>KLIPPAN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46315</v>
      </c>
      <c r="F118" t="inlineStr">
        <is>
          <t>SKÅNE LÄN</t>
        </is>
      </c>
      <c r="G118" t="inlineStr">
        <is>
          <t>KLIPPAN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46315</v>
      </c>
      <c r="F119" t="inlineStr">
        <is>
          <t>SKÅNE LÄN</t>
        </is>
      </c>
      <c r="G119" t="inlineStr">
        <is>
          <t>KLIPPAN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46315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44529</v>
      </c>
      <c r="E121" s="1" t="n">
        <v>46315</v>
      </c>
      <c r="F121" t="inlineStr">
        <is>
          <t>SKÅNE LÄN</t>
        </is>
      </c>
      <c r="G121" t="inlineStr">
        <is>
          <t>KLIPPAN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46315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46315</v>
      </c>
      <c r="F123" t="inlineStr">
        <is>
          <t>SKÅNE LÄN</t>
        </is>
      </c>
      <c r="G123" t="inlineStr">
        <is>
          <t>KLIPPAN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44978</v>
      </c>
      <c r="E124" s="1" t="n">
        <v>46315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46315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44930</v>
      </c>
      <c r="E126" s="1" t="n">
        <v>46315</v>
      </c>
      <c r="F126" t="inlineStr">
        <is>
          <t>SKÅNE LÄN</t>
        </is>
      </c>
      <c r="G126" t="inlineStr">
        <is>
          <t>KLIPPAN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45055</v>
      </c>
      <c r="E127" s="1" t="n">
        <v>46315</v>
      </c>
      <c r="F127" t="inlineStr">
        <is>
          <t>SKÅNE LÄN</t>
        </is>
      </c>
      <c r="G127" t="inlineStr">
        <is>
          <t>KLIPPAN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46315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46315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46315</v>
      </c>
      <c r="F130" t="inlineStr">
        <is>
          <t>SKÅNE LÄN</t>
        </is>
      </c>
      <c r="G130" t="inlineStr">
        <is>
          <t>KLIPPAN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46315</v>
      </c>
      <c r="F131" t="inlineStr">
        <is>
          <t>SKÅNE LÄN</t>
        </is>
      </c>
      <c r="G131" t="inlineStr">
        <is>
          <t>KLIPPAN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46315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46315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46315</v>
      </c>
      <c r="F134" t="inlineStr">
        <is>
          <t>SKÅNE LÄN</t>
        </is>
      </c>
      <c r="G134" t="inlineStr">
        <is>
          <t>KLIPPAN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46315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46315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46315</v>
      </c>
      <c r="F137" t="inlineStr">
        <is>
          <t>SKÅNE LÄN</t>
        </is>
      </c>
      <c r="G137" t="inlineStr">
        <is>
          <t>KLIPPAN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46315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46315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46315</v>
      </c>
      <c r="F140" t="inlineStr">
        <is>
          <t>SKÅNE LÄN</t>
        </is>
      </c>
      <c r="G140" t="inlineStr">
        <is>
          <t>KLIPPAN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46315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46315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44489</v>
      </c>
      <c r="E143" s="1" t="n">
        <v>46315</v>
      </c>
      <c r="F143" t="inlineStr">
        <is>
          <t>SKÅNE LÄN</t>
        </is>
      </c>
      <c r="G143" t="inlineStr">
        <is>
          <t>KLIPPAN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46315</v>
      </c>
      <c r="F144" t="inlineStr">
        <is>
          <t>SKÅNE LÄN</t>
        </is>
      </c>
      <c r="G144" t="inlineStr">
        <is>
          <t>KLIPPAN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46315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46315</v>
      </c>
      <c r="F146" t="inlineStr">
        <is>
          <t>SKÅNE LÄN</t>
        </is>
      </c>
      <c r="G146" t="inlineStr">
        <is>
          <t>KLIPPAN</t>
        </is>
      </c>
      <c r="H146" t="inlineStr">
        <is>
          <t>Övriga Aktiebolag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44992</v>
      </c>
      <c r="E147" s="1" t="n">
        <v>46315</v>
      </c>
      <c r="F147" t="inlineStr">
        <is>
          <t>SKÅNE LÄN</t>
        </is>
      </c>
      <c r="G147" t="inlineStr">
        <is>
          <t>KLIPPAN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46315</v>
      </c>
      <c r="F148" t="inlineStr">
        <is>
          <t>SKÅNE LÄN</t>
        </is>
      </c>
      <c r="G148" t="inlineStr">
        <is>
          <t>KLIPPAN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46315</v>
      </c>
      <c r="F149" t="inlineStr">
        <is>
          <t>SKÅNE LÄN</t>
        </is>
      </c>
      <c r="G149" t="inlineStr">
        <is>
          <t>KLIPPAN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45084</v>
      </c>
      <c r="E150" s="1" t="n">
        <v>46315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46315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45673</v>
      </c>
      <c r="E152" s="1" t="n">
        <v>46315</v>
      </c>
      <c r="F152" t="inlineStr">
        <is>
          <t>SKÅNE LÄN</t>
        </is>
      </c>
      <c r="G152" t="inlineStr">
        <is>
          <t>KLIPPAN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46315</v>
      </c>
      <c r="F153" t="inlineStr">
        <is>
          <t>SKÅNE LÄN</t>
        </is>
      </c>
      <c r="G153" t="inlineStr">
        <is>
          <t>KLIPPAN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45324</v>
      </c>
      <c r="E154" s="1" t="n">
        <v>46315</v>
      </c>
      <c r="F154" t="inlineStr">
        <is>
          <t>SKÅNE LÄN</t>
        </is>
      </c>
      <c r="G154" t="inlineStr">
        <is>
          <t>KLIPPAN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46315</v>
      </c>
      <c r="F155" t="inlineStr">
        <is>
          <t>SKÅNE LÄN</t>
        </is>
      </c>
      <c r="G155" t="inlineStr">
        <is>
          <t>KLIPPAN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46315</v>
      </c>
      <c r="F156" t="inlineStr">
        <is>
          <t>SKÅNE LÄN</t>
        </is>
      </c>
      <c r="G156" t="inlineStr">
        <is>
          <t>KLIPPAN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46315</v>
      </c>
      <c r="F157" t="inlineStr">
        <is>
          <t>SKÅNE LÄN</t>
        </is>
      </c>
      <c r="G157" t="inlineStr">
        <is>
          <t>KLIPPAN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45223</v>
      </c>
      <c r="E158" s="1" t="n">
        <v>46315</v>
      </c>
      <c r="F158" t="inlineStr">
        <is>
          <t>SKÅNE LÄN</t>
        </is>
      </c>
      <c r="G158" t="inlineStr">
        <is>
          <t>KLIPPAN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46315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46315</v>
      </c>
      <c r="F160" t="inlineStr">
        <is>
          <t>SKÅNE LÄN</t>
        </is>
      </c>
      <c r="G160" t="inlineStr">
        <is>
          <t>KLIPPAN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45199</v>
      </c>
      <c r="E161" s="1" t="n">
        <v>46315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46315</v>
      </c>
      <c r="F162" t="inlineStr">
        <is>
          <t>SKÅNE LÄN</t>
        </is>
      </c>
      <c r="G162" t="inlineStr">
        <is>
          <t>KLIPPAN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46315</v>
      </c>
      <c r="F163" t="inlineStr">
        <is>
          <t>SKÅNE LÄN</t>
        </is>
      </c>
      <c r="G163" t="inlineStr">
        <is>
          <t>KLIPPAN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46315</v>
      </c>
      <c r="F164" t="inlineStr">
        <is>
          <t>SKÅNE LÄN</t>
        </is>
      </c>
      <c r="G164" t="inlineStr">
        <is>
          <t>KLIPPAN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46315</v>
      </c>
      <c r="F165" t="inlineStr">
        <is>
          <t>SKÅNE LÄN</t>
        </is>
      </c>
      <c r="G165" t="inlineStr">
        <is>
          <t>KLIPPAN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46315</v>
      </c>
      <c r="F166" t="inlineStr">
        <is>
          <t>SKÅNE LÄN</t>
        </is>
      </c>
      <c r="G166" t="inlineStr">
        <is>
          <t>KLIPPAN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46315</v>
      </c>
      <c r="F167" t="inlineStr">
        <is>
          <t>SKÅNE LÄN</t>
        </is>
      </c>
      <c r="G167" t="inlineStr">
        <is>
          <t>KLIPPAN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46315</v>
      </c>
      <c r="F168" t="inlineStr">
        <is>
          <t>SKÅNE LÄN</t>
        </is>
      </c>
      <c r="G168" t="inlineStr">
        <is>
          <t>KLIPPAN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46315</v>
      </c>
      <c r="F169" t="inlineStr">
        <is>
          <t>SKÅNE LÄN</t>
        </is>
      </c>
      <c r="G169" t="inlineStr">
        <is>
          <t>KLIPPAN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46315</v>
      </c>
      <c r="F170" t="inlineStr">
        <is>
          <t>SKÅNE LÄN</t>
        </is>
      </c>
      <c r="G170" t="inlineStr">
        <is>
          <t>KLIPPAN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46315</v>
      </c>
      <c r="F171" t="inlineStr">
        <is>
          <t>SKÅNE LÄN</t>
        </is>
      </c>
      <c r="G171" t="inlineStr">
        <is>
          <t>KLIPPAN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46315</v>
      </c>
      <c r="F172" t="inlineStr">
        <is>
          <t>SKÅNE LÄN</t>
        </is>
      </c>
      <c r="G172" t="inlineStr">
        <is>
          <t>KLIPPAN</t>
        </is>
      </c>
      <c r="I172" t="n">
        <v>17.2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46315</v>
      </c>
      <c r="F173" t="inlineStr">
        <is>
          <t>SKÅNE LÄN</t>
        </is>
      </c>
      <c r="G173" t="inlineStr">
        <is>
          <t>KLIPPAN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45660</v>
      </c>
      <c r="E174" s="1" t="n">
        <v>46315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46315</v>
      </c>
      <c r="F175" t="inlineStr">
        <is>
          <t>SKÅNE LÄN</t>
        </is>
      </c>
      <c r="G175" t="inlineStr">
        <is>
          <t>KLIPPAN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46315</v>
      </c>
      <c r="F176" t="inlineStr">
        <is>
          <t>SKÅNE LÄN</t>
        </is>
      </c>
      <c r="G176" t="inlineStr">
        <is>
          <t>KLIPPAN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46315</v>
      </c>
      <c r="F177" t="inlineStr">
        <is>
          <t>SKÅNE LÄN</t>
        </is>
      </c>
      <c r="G177" t="inlineStr">
        <is>
          <t>KLIPPAN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46315</v>
      </c>
      <c r="F178" t="inlineStr">
        <is>
          <t>SKÅNE LÄN</t>
        </is>
      </c>
      <c r="G178" t="inlineStr">
        <is>
          <t>KLIPPAN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46728-2023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45198</v>
      </c>
      <c r="E179" s="1" t="n">
        <v>46315</v>
      </c>
      <c r="F179" t="inlineStr">
        <is>
          <t>SKÅNE LÄN</t>
        </is>
      </c>
      <c r="G179" t="inlineStr">
        <is>
          <t>KLIPPAN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46315</v>
      </c>
      <c r="F180" t="inlineStr">
        <is>
          <t>SKÅNE LÄN</t>
        </is>
      </c>
      <c r="G180" t="inlineStr">
        <is>
          <t>KLIPPAN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46315</v>
      </c>
      <c r="F181" t="inlineStr">
        <is>
          <t>SKÅNE LÄN</t>
        </is>
      </c>
      <c r="G181" t="inlineStr">
        <is>
          <t>KLIPPAN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24333-2022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44726</v>
      </c>
      <c r="E182" s="1" t="n">
        <v>46315</v>
      </c>
      <c r="F182" t="inlineStr">
        <is>
          <t>SKÅNE LÄN</t>
        </is>
      </c>
      <c r="G182" t="inlineStr">
        <is>
          <t>KLIPPAN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46315</v>
      </c>
      <c r="F183" t="inlineStr">
        <is>
          <t>SKÅNE LÄN</t>
        </is>
      </c>
      <c r="G183" t="inlineStr">
        <is>
          <t>KLIPPAN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46315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46315</v>
      </c>
      <c r="F185" t="inlineStr">
        <is>
          <t>SKÅNE LÄN</t>
        </is>
      </c>
      <c r="G185" t="inlineStr">
        <is>
          <t>KLIPPAN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46315</v>
      </c>
      <c r="F186" t="inlineStr">
        <is>
          <t>SKÅNE LÄN</t>
        </is>
      </c>
      <c r="G186" t="inlineStr">
        <is>
          <t>KLIPPAN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46315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46315</v>
      </c>
      <c r="F188" t="inlineStr">
        <is>
          <t>SKÅNE LÄN</t>
        </is>
      </c>
      <c r="G188" t="inlineStr">
        <is>
          <t>KLIPPAN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46315</v>
      </c>
      <c r="F189" t="inlineStr">
        <is>
          <t>SKÅNE LÄN</t>
        </is>
      </c>
      <c r="G189" t="inlineStr">
        <is>
          <t>KLIPPAN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46315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46315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46315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46315</v>
      </c>
      <c r="F193" t="inlineStr">
        <is>
          <t>SKÅNE LÄN</t>
        </is>
      </c>
      <c r="G193" t="inlineStr">
        <is>
          <t>KLIPPAN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46315</v>
      </c>
      <c r="F194" t="inlineStr">
        <is>
          <t>SKÅNE LÄN</t>
        </is>
      </c>
      <c r="G194" t="inlineStr">
        <is>
          <t>KLIPPAN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46315</v>
      </c>
      <c r="F195" t="inlineStr">
        <is>
          <t>SKÅNE LÄN</t>
        </is>
      </c>
      <c r="G195" t="inlineStr">
        <is>
          <t>KLIPPAN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44880</v>
      </c>
      <c r="E196" s="1" t="n">
        <v>46315</v>
      </c>
      <c r="F196" t="inlineStr">
        <is>
          <t>SKÅNE LÄN</t>
        </is>
      </c>
      <c r="G196" t="inlineStr">
        <is>
          <t>KLIPPAN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46315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68856-2021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46315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45562</v>
      </c>
      <c r="E199" s="1" t="n">
        <v>46315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44593</v>
      </c>
      <c r="E200" s="1" t="n">
        <v>46315</v>
      </c>
      <c r="F200" t="inlineStr">
        <is>
          <t>SKÅNE LÄN</t>
        </is>
      </c>
      <c r="G200" t="inlineStr">
        <is>
          <t>KLIPPAN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46315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30215-2026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46315</v>
      </c>
      <c r="F202" t="inlineStr">
        <is>
          <t>SKÅNE LÄN</t>
        </is>
      </c>
      <c r="G202" t="inlineStr">
        <is>
          <t>KLIPPAN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46315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46315</v>
      </c>
      <c r="F204" t="inlineStr">
        <is>
          <t>SKÅNE LÄN</t>
        </is>
      </c>
      <c r="G204" t="inlineStr">
        <is>
          <t>KLIPPAN</t>
        </is>
      </c>
      <c r="H204" t="inlineStr">
        <is>
          <t>Övriga Aktiebolag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46315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46209</v>
      </c>
      <c r="E206" s="1" t="n">
        <v>46315</v>
      </c>
      <c r="F206" t="inlineStr">
        <is>
          <t>SKÅNE LÄN</t>
        </is>
      </c>
      <c r="G206" t="inlineStr">
        <is>
          <t>KLIPPAN</t>
        </is>
      </c>
      <c r="H206" t="inlineStr">
        <is>
          <t>Sveaskog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46315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46315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46315</v>
      </c>
      <c r="F209" t="inlineStr">
        <is>
          <t>SKÅNE LÄN</t>
        </is>
      </c>
      <c r="G209" t="inlineStr">
        <is>
          <t>KLIPPAN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46315</v>
      </c>
      <c r="F210" t="inlineStr">
        <is>
          <t>SKÅNE LÄN</t>
        </is>
      </c>
      <c r="G210" t="inlineStr">
        <is>
          <t>KLIPPAN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46315</v>
      </c>
      <c r="F211" t="inlineStr">
        <is>
          <t>SKÅNE LÄN</t>
        </is>
      </c>
      <c r="G211" t="inlineStr">
        <is>
          <t>KLIPPAN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46216</v>
      </c>
      <c r="E212" s="1" t="n">
        <v>46315</v>
      </c>
      <c r="F212" t="inlineStr">
        <is>
          <t>SKÅNE LÄN</t>
        </is>
      </c>
      <c r="G212" t="inlineStr">
        <is>
          <t>KLIPPAN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46216</v>
      </c>
      <c r="E213" s="1" t="n">
        <v>46315</v>
      </c>
      <c r="F213" t="inlineStr">
        <is>
          <t>SKÅNE LÄN</t>
        </is>
      </c>
      <c r="G213" t="inlineStr">
        <is>
          <t>KLIPPAN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46216</v>
      </c>
      <c r="E214" s="1" t="n">
        <v>46315</v>
      </c>
      <c r="F214" t="inlineStr">
        <is>
          <t>SKÅNE LÄN</t>
        </is>
      </c>
      <c r="G214" t="inlineStr">
        <is>
          <t>KLIPPAN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44593</v>
      </c>
      <c r="E215" s="1" t="n">
        <v>46315</v>
      </c>
      <c r="F215" t="inlineStr">
        <is>
          <t>SKÅNE LÄN</t>
        </is>
      </c>
      <c r="G215" t="inlineStr">
        <is>
          <t>KLIPPAN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29500-2026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46315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44875</v>
      </c>
      <c r="E217" s="1" t="n">
        <v>46315</v>
      </c>
      <c r="F217" t="inlineStr">
        <is>
          <t>SKÅNE LÄN</t>
        </is>
      </c>
      <c r="G217" t="inlineStr">
        <is>
          <t>KLIPPAN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46315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46315</v>
      </c>
      <c r="F219" t="inlineStr">
        <is>
          <t>SKÅNE LÄN</t>
        </is>
      </c>
      <c r="G219" t="inlineStr">
        <is>
          <t>KLIPPAN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44944</v>
      </c>
      <c r="E220" s="1" t="n">
        <v>46315</v>
      </c>
      <c r="F220" t="inlineStr">
        <is>
          <t>SKÅNE LÄN</t>
        </is>
      </c>
      <c r="G220" t="inlineStr">
        <is>
          <t>KLIPPAN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46315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46315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46281</v>
      </c>
      <c r="E223" s="1" t="n">
        <v>46315</v>
      </c>
      <c r="F223" t="inlineStr">
        <is>
          <t>SKÅNE LÄN</t>
        </is>
      </c>
      <c r="G223" t="inlineStr">
        <is>
          <t>KLIPPAN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46315</v>
      </c>
      <c r="F224" t="inlineStr">
        <is>
          <t>SKÅNE LÄN</t>
        </is>
      </c>
      <c r="G224" t="inlineStr">
        <is>
          <t>KLIPPAN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45523</v>
      </c>
      <c r="E225" s="1" t="n">
        <v>46315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45224</v>
      </c>
      <c r="E226" s="1" t="n">
        <v>46315</v>
      </c>
      <c r="F226" t="inlineStr">
        <is>
          <t>SKÅNE LÄN</t>
        </is>
      </c>
      <c r="G226" t="inlineStr">
        <is>
          <t>KLIPPAN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46315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46287</v>
      </c>
      <c r="E228" s="1" t="n">
        <v>46315</v>
      </c>
      <c r="F228" t="inlineStr">
        <is>
          <t>SKÅNE LÄN</t>
        </is>
      </c>
      <c r="G228" t="inlineStr">
        <is>
          <t>KLIPPAN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46245</v>
      </c>
      <c r="E229" s="1" t="n">
        <v>46315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46315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46315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46315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45739</v>
      </c>
      <c r="E233" s="1" t="n">
        <v>46315</v>
      </c>
      <c r="F233" t="inlineStr">
        <is>
          <t>SKÅNE LÄN</t>
        </is>
      </c>
      <c r="G233" t="inlineStr">
        <is>
          <t>KLIPPAN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46315</v>
      </c>
      <c r="F234" t="inlineStr">
        <is>
          <t>SKÅNE LÄN</t>
        </is>
      </c>
      <c r="G234" t="inlineStr">
        <is>
          <t>KLIPPAN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46315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46315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46315</v>
      </c>
      <c r="F237" t="inlineStr">
        <is>
          <t>SKÅNE LÄN</t>
        </is>
      </c>
      <c r="G237" t="inlineStr">
        <is>
          <t>KLIPPAN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46251</v>
      </c>
      <c r="E238" s="1" t="n">
        <v>46315</v>
      </c>
      <c r="F238" t="inlineStr">
        <is>
          <t>SKÅNE LÄN</t>
        </is>
      </c>
      <c r="G238" t="inlineStr">
        <is>
          <t>KLIPPAN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46315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46315</v>
      </c>
      <c r="F240" t="inlineStr">
        <is>
          <t>SKÅNE LÄN</t>
        </is>
      </c>
      <c r="G240" t="inlineStr">
        <is>
          <t>KLIPPAN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46295</v>
      </c>
      <c r="E241" s="1" t="n">
        <v>46315</v>
      </c>
      <c r="F241" t="inlineStr">
        <is>
          <t>SKÅNE LÄN</t>
        </is>
      </c>
      <c r="G241" t="inlineStr">
        <is>
          <t>KLIPPAN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46315</v>
      </c>
      <c r="F242" t="inlineStr">
        <is>
          <t>SKÅNE LÄN</t>
        </is>
      </c>
      <c r="G242" t="inlineStr">
        <is>
          <t>KLIPPAN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46315</v>
      </c>
      <c r="F243" t="inlineStr">
        <is>
          <t>SKÅNE LÄN</t>
        </is>
      </c>
      <c r="G243" t="inlineStr">
        <is>
          <t>KLIPPAN</t>
        </is>
      </c>
      <c r="H243" t="inlineStr">
        <is>
          <t>Övriga Aktiebolag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46315</v>
      </c>
      <c r="F244" t="inlineStr">
        <is>
          <t>SKÅNE LÄN</t>
        </is>
      </c>
      <c r="G244" t="inlineStr">
        <is>
          <t>KLIPPAN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46315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46315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46315</v>
      </c>
      <c r="F247" t="inlineStr">
        <is>
          <t>SKÅNE LÄN</t>
        </is>
      </c>
      <c r="G247" t="inlineStr">
        <is>
          <t>KLIPPAN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46315</v>
      </c>
      <c r="F248" t="inlineStr">
        <is>
          <t>SKÅNE LÄN</t>
        </is>
      </c>
      <c r="G248" t="inlineStr">
        <is>
          <t>KLIPPAN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49989-2024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46315</v>
      </c>
      <c r="F249" t="inlineStr">
        <is>
          <t>SKÅNE LÄN</t>
        </is>
      </c>
      <c r="G249" t="inlineStr">
        <is>
          <t>KLIPPAN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45573</v>
      </c>
      <c r="E250" s="1" t="n">
        <v>46315</v>
      </c>
      <c r="F250" t="inlineStr">
        <is>
          <t>SKÅNE LÄN</t>
        </is>
      </c>
      <c r="G250" t="inlineStr">
        <is>
          <t>KLIPPAN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69394-2021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44531</v>
      </c>
      <c r="E251" s="1" t="n">
        <v>46315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46223</v>
      </c>
      <c r="E252" s="1" t="n">
        <v>46315</v>
      </c>
      <c r="F252" t="inlineStr">
        <is>
          <t>SKÅNE LÄN</t>
        </is>
      </c>
      <c r="G252" t="inlineStr">
        <is>
          <t>KLIPPAN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46265</v>
      </c>
      <c r="E253" s="1" t="n">
        <v>46315</v>
      </c>
      <c r="F253" t="inlineStr">
        <is>
          <t>SKÅNE LÄN</t>
        </is>
      </c>
      <c r="G253" t="inlineStr">
        <is>
          <t>KLIPPAN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46315</v>
      </c>
      <c r="F254" t="inlineStr">
        <is>
          <t>SKÅNE LÄN</t>
        </is>
      </c>
      <c r="G254" t="inlineStr">
        <is>
          <t>KLIPPAN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46315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46315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46315</v>
      </c>
      <c r="F257" t="inlineStr">
        <is>
          <t>SKÅNE LÄN</t>
        </is>
      </c>
      <c r="G257" t="inlineStr">
        <is>
          <t>KLIPPAN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45094</v>
      </c>
      <c r="E258" s="1" t="n">
        <v>46315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46309</v>
      </c>
      <c r="E259" s="1" t="n">
        <v>46315</v>
      </c>
      <c r="F259" t="inlineStr">
        <is>
          <t>SKÅNE LÄN</t>
        </is>
      </c>
      <c r="G259" t="inlineStr">
        <is>
          <t>KLIPPAN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45824</v>
      </c>
      <c r="E260" s="1" t="n">
        <v>46315</v>
      </c>
      <c r="F260" t="inlineStr">
        <is>
          <t>SKÅNE LÄN</t>
        </is>
      </c>
      <c r="G260" t="inlineStr">
        <is>
          <t>KLIPPAN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46315</v>
      </c>
      <c r="F261" t="inlineStr">
        <is>
          <t>SKÅNE LÄN</t>
        </is>
      </c>
      <c r="G261" t="inlineStr">
        <is>
          <t>KLIPPAN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46269</v>
      </c>
      <c r="E262" s="1" t="n">
        <v>46315</v>
      </c>
      <c r="F262" t="inlineStr">
        <is>
          <t>SKÅNE LÄN</t>
        </is>
      </c>
      <c r="G262" t="inlineStr">
        <is>
          <t>KLIPPAN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46315</v>
      </c>
      <c r="F263" t="inlineStr">
        <is>
          <t>SKÅNE LÄN</t>
        </is>
      </c>
      <c r="G263" t="inlineStr">
        <is>
          <t>KLIPPAN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46315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46315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46315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46315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46315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46315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46315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46315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46315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46315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46315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46315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46315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46315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46315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46315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46315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46315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46315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46315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46315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46315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46315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46315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46315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46315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2026-10-20T01:51:24Z</dcterms:created>
  <dcterms:modified xmlns:dcterms="http://purl.org/dc/terms/" xmlns:xsi="http://www.w3.org/2001/XMLSchema-instance" xsi:type="dcterms:W3CDTF">2026-10-20T01:51:24Z</dcterms:modified>
</cp:coreProperties>
</file>