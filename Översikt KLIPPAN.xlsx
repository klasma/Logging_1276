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46256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46256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46256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46256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46256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46256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46256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46256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46256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46256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46256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31525-2026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46223</v>
      </c>
      <c r="E13" s="1" t="n">
        <v>46256</v>
      </c>
      <c r="F13" t="inlineStr">
        <is>
          <t>SKÅNE LÄN</t>
        </is>
      </c>
      <c r="G13" t="inlineStr">
        <is>
          <t>KLIPPAN</t>
        </is>
      </c>
      <c r="I13" t="n">
        <v>0.4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Entita
Kruskantarell
Stjärtmes</t>
        </is>
      </c>
      <c r="W13">
        <f>HYPERLINK("https://klasma.github.io/Logging_1276/artfynd/A 31525-2026 artfynd.xlsx", "A 31525-2026")</f>
        <v/>
      </c>
      <c r="X13">
        <f>HYPERLINK("https://klasma.github.io/Logging_1276/kartor/A 31525-2026 karta.png", "A 31525-2026")</f>
        <v/>
      </c>
      <c r="Y13">
        <f>HYPERLINK("https://klasma.github.io/Logging_1276/kartor_geotiff/A 31525-2026 georefererad karta.tif", "A 31525-2026")</f>
        <v/>
      </c>
      <c r="AA13">
        <f>HYPERLINK("https://klasma.github.io/Logging_1276/klagomål/A 31525-2026 FSC-klagomål.docx", "A 31525-2026")</f>
        <v/>
      </c>
      <c r="AB13">
        <f>HYPERLINK("https://klasma.github.io/Logging_1276/klagomålsmail/A 31525-2026 FSC-klagomål mail.docx", "A 31525-2026")</f>
        <v/>
      </c>
      <c r="AC13">
        <f>HYPERLINK("https://klasma.github.io/Logging_1276/tillsyn/A 31525-2026 tillsynsbegäran.docx", "A 31525-2026")</f>
        <v/>
      </c>
      <c r="AD13">
        <f>HYPERLINK("https://klasma.github.io/Logging_1276/tillsynsmail/A 31525-2026 tillsynsbegäran mail.docx", "A 31525-2026")</f>
        <v/>
      </c>
      <c r="AE13">
        <f>HYPERLINK("https://klasma.github.io/Logging_1276/fåglar/A 31525-2026 prioriterade fågelarter.docx", "A 31525-2026")</f>
        <v/>
      </c>
    </row>
    <row r="14" ht="15" customHeight="1">
      <c r="A14" t="inlineStr">
        <is>
          <t>A 6890-2026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46057</v>
      </c>
      <c r="E14" s="1" t="n">
        <v>46256</v>
      </c>
      <c r="F14" t="inlineStr">
        <is>
          <t>SKÅNE LÄN</t>
        </is>
      </c>
      <c r="G14" t="inlineStr">
        <is>
          <t>KLIPPAN</t>
        </is>
      </c>
      <c r="I14" t="n">
        <v>8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Enkelbeckasin
Entita
Gröngöling</t>
        </is>
      </c>
      <c r="W14">
        <f>HYPERLINK("https://klasma.github.io/Logging_1276/artfynd/A 6890-2026 artfynd.xlsx", "A 6890-2026")</f>
        <v/>
      </c>
      <c r="X14">
        <f>HYPERLINK("https://klasma.github.io/Logging_1276/kartor/A 6890-2026 karta.png", "A 6890-2026")</f>
        <v/>
      </c>
      <c r="Y14">
        <f>HYPERLINK("https://klasma.github.io/Logging_1276/kartor_geotiff/A 6890-2026 georefererad karta.tif", "A 6890-2026")</f>
        <v/>
      </c>
      <c r="AA14">
        <f>HYPERLINK("https://klasma.github.io/Logging_1276/klagomål/A 6890-2026 FSC-klagomål.docx", "A 6890-2026")</f>
        <v/>
      </c>
      <c r="AB14">
        <f>HYPERLINK("https://klasma.github.io/Logging_1276/klagomålsmail/A 6890-2026 FSC-klagomål mail.docx", "A 6890-2026")</f>
        <v/>
      </c>
      <c r="AC14">
        <f>HYPERLINK("https://klasma.github.io/Logging_1276/tillsyn/A 6890-2026 tillsynsbegäran.docx", "A 6890-2026")</f>
        <v/>
      </c>
      <c r="AD14">
        <f>HYPERLINK("https://klasma.github.io/Logging_1276/tillsynsmail/A 6890-2026 tillsynsbegäran mail.docx", "A 6890-2026")</f>
        <v/>
      </c>
      <c r="AE14">
        <f>HYPERLINK("https://klasma.github.io/Logging_1276/fåglar/A 6890-2026 prioriterade fågelarter.docx", "A 6890-2026")</f>
        <v/>
      </c>
    </row>
    <row r="15" ht="15" customHeight="1">
      <c r="A15" t="inlineStr">
        <is>
          <t>A 53878-2022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46256</v>
      </c>
      <c r="F15" t="inlineStr">
        <is>
          <t>SKÅNE LÄN</t>
        </is>
      </c>
      <c r="G15" t="inlineStr">
        <is>
          <t>KLIPPAN</t>
        </is>
      </c>
      <c r="I15" t="n">
        <v>8.300000000000001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Entita
Gulsparv
Grönvit nattviol</t>
        </is>
      </c>
      <c r="W15">
        <f>HYPERLINK("https://klasma.github.io/Logging_1276/artfynd/A 53878-2022 artfynd.xlsx", "A 53878-2022")</f>
        <v/>
      </c>
      <c r="X15">
        <f>HYPERLINK("https://klasma.github.io/Logging_1276/kartor/A 53878-2022 karta.png", "A 53878-2022")</f>
        <v/>
      </c>
      <c r="Y15">
        <f>HYPERLINK("https://klasma.github.io/Logging_1276/kartor_geotiff/A 53878-2022 georefererad karta.tif", "A 53878-2022")</f>
        <v/>
      </c>
      <c r="AA15">
        <f>HYPERLINK("https://klasma.github.io/Logging_1276/klagomål/A 53878-2022 FSC-klagomål.docx", "A 53878-2022")</f>
        <v/>
      </c>
      <c r="AB15">
        <f>HYPERLINK("https://klasma.github.io/Logging_1276/klagomålsmail/A 53878-2022 FSC-klagomål mail.docx", "A 53878-2022")</f>
        <v/>
      </c>
      <c r="AC15">
        <f>HYPERLINK("https://klasma.github.io/Logging_1276/tillsyn/A 53878-2022 tillsynsbegäran.docx", "A 53878-2022")</f>
        <v/>
      </c>
      <c r="AD15">
        <f>HYPERLINK("https://klasma.github.io/Logging_1276/tillsynsmail/A 53878-2022 tillsynsbegäran mail.docx", "A 53878-2022")</f>
        <v/>
      </c>
      <c r="AE15">
        <f>HYPERLINK("https://klasma.github.io/Logging_1276/fåglar/A 53878-2022 prioriterade fågelarter.docx", "A 53878-2022")</f>
        <v/>
      </c>
    </row>
    <row r="16" ht="15" customHeight="1">
      <c r="A16" t="inlineStr">
        <is>
          <t>A 54644-2023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45235</v>
      </c>
      <c r="E16" s="1" t="n">
        <v>46256</v>
      </c>
      <c r="F16" t="inlineStr">
        <is>
          <t>SKÅNE LÄN</t>
        </is>
      </c>
      <c r="G16" t="inlineStr">
        <is>
          <t>KLIPPAN</t>
        </is>
      </c>
      <c r="I16" t="n">
        <v>8.1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Havstulpanlav
Spillkråka
Skogsduva</t>
        </is>
      </c>
      <c r="W16">
        <f>HYPERLINK("https://klasma.github.io/Logging_1276/artfynd/A 54644-2023 artfynd.xlsx", "A 54644-2023")</f>
        <v/>
      </c>
      <c r="X16">
        <f>HYPERLINK("https://klasma.github.io/Logging_1276/kartor/A 54644-2023 karta.png", "A 54644-2023")</f>
        <v/>
      </c>
      <c r="Y16">
        <f>HYPERLINK("https://klasma.github.io/Logging_1276/kartor_geotiff/A 54644-2023 georefererad karta.tif", "A 54644-2023")</f>
        <v/>
      </c>
      <c r="AA16">
        <f>HYPERLINK("https://klasma.github.io/Logging_1276/klagomål/A 54644-2023 FSC-klagomål.docx", "A 54644-2023")</f>
        <v/>
      </c>
      <c r="AB16">
        <f>HYPERLINK("https://klasma.github.io/Logging_1276/klagomålsmail/A 54644-2023 FSC-klagomål mail.docx", "A 54644-2023")</f>
        <v/>
      </c>
      <c r="AC16">
        <f>HYPERLINK("https://klasma.github.io/Logging_1276/tillsyn/A 54644-2023 tillsynsbegäran.docx", "A 54644-2023")</f>
        <v/>
      </c>
      <c r="AD16">
        <f>HYPERLINK("https://klasma.github.io/Logging_1276/tillsynsmail/A 54644-2023 tillsynsbegäran mail.docx", "A 54644-2023")</f>
        <v/>
      </c>
      <c r="AE16">
        <f>HYPERLINK("https://klasma.github.io/Logging_1276/fåglar/A 54644-2023 prioriterade fågelarter.docx", "A 54644-2023")</f>
        <v/>
      </c>
    </row>
    <row r="17" ht="15" customHeight="1">
      <c r="A17" t="inlineStr">
        <is>
          <t>A 2839-2026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46256</v>
      </c>
      <c r="F17" t="inlineStr">
        <is>
          <t>SKÅNE LÄN</t>
        </is>
      </c>
      <c r="G17" t="inlineStr">
        <is>
          <t>KLIPPAN</t>
        </is>
      </c>
      <c r="I17" t="n">
        <v>2.4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Mindre hackspett
Stjärtmes</t>
        </is>
      </c>
      <c r="W17">
        <f>HYPERLINK("https://klasma.github.io/Logging_1276/artfynd/A 2839-2026 artfynd.xlsx", "A 2839-2026")</f>
        <v/>
      </c>
      <c r="X17">
        <f>HYPERLINK("https://klasma.github.io/Logging_1276/kartor/A 2839-2026 karta.png", "A 2839-2026")</f>
        <v/>
      </c>
      <c r="Y17">
        <f>HYPERLINK("https://klasma.github.io/Logging_1276/kartor_geotiff/A 2839-2026 georefererad karta.tif", "A 2839-2026")</f>
        <v/>
      </c>
      <c r="AA17">
        <f>HYPERLINK("https://klasma.github.io/Logging_1276/klagomål/A 2839-2026 FSC-klagomål.docx", "A 2839-2026")</f>
        <v/>
      </c>
      <c r="AB17">
        <f>HYPERLINK("https://klasma.github.io/Logging_1276/klagomålsmail/A 2839-2026 FSC-klagomål mail.docx", "A 2839-2026")</f>
        <v/>
      </c>
      <c r="AC17">
        <f>HYPERLINK("https://klasma.github.io/Logging_1276/tillsyn/A 2839-2026 tillsynsbegäran.docx", "A 2839-2026")</f>
        <v/>
      </c>
      <c r="AD17">
        <f>HYPERLINK("https://klasma.github.io/Logging_1276/tillsynsmail/A 2839-2026 tillsynsbegäran mail.docx", "A 2839-2026")</f>
        <v/>
      </c>
      <c r="AE17">
        <f>HYPERLINK("https://klasma.github.io/Logging_1276/fåglar/A 2839-2026 prioriterade fågelarter.docx", "A 2839-2026")</f>
        <v/>
      </c>
    </row>
    <row r="18" ht="15" customHeight="1">
      <c r="A18" t="inlineStr">
        <is>
          <t>A 45242-2025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46256</v>
      </c>
      <c r="F18" t="inlineStr">
        <is>
          <t>SKÅNE LÄN</t>
        </is>
      </c>
      <c r="G18" t="inlineStr">
        <is>
          <t>KLIPPAN</t>
        </is>
      </c>
      <c r="I18" t="n">
        <v>2.2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Blåmossa
Spillkråka
Kungsfågel</t>
        </is>
      </c>
      <c r="W18">
        <f>HYPERLINK("https://klasma.github.io/Logging_1276/artfynd/A 45242-2025 artfynd.xlsx", "A 45242-2025")</f>
        <v/>
      </c>
      <c r="X18">
        <f>HYPERLINK("https://klasma.github.io/Logging_1276/kartor/A 45242-2025 karta.png", "A 45242-2025")</f>
        <v/>
      </c>
      <c r="Y18">
        <f>HYPERLINK("https://klasma.github.io/Logging_1276/kartor_geotiff/A 45242-2025 georefererad karta.tif", "A 45242-2025")</f>
        <v/>
      </c>
      <c r="AA18">
        <f>HYPERLINK("https://klasma.github.io/Logging_1276/klagomål/A 45242-2025 FSC-klagomål.docx", "A 45242-2025")</f>
        <v/>
      </c>
      <c r="AB18">
        <f>HYPERLINK("https://klasma.github.io/Logging_1276/klagomålsmail/A 45242-2025 FSC-klagomål mail.docx", "A 45242-2025")</f>
        <v/>
      </c>
      <c r="AC18">
        <f>HYPERLINK("https://klasma.github.io/Logging_1276/tillsyn/A 45242-2025 tillsynsbegäran.docx", "A 45242-2025")</f>
        <v/>
      </c>
      <c r="AD18">
        <f>HYPERLINK("https://klasma.github.io/Logging_1276/tillsynsmail/A 45242-2025 tillsynsbegäran mail.docx", "A 45242-2025")</f>
        <v/>
      </c>
      <c r="AE18">
        <f>HYPERLINK("https://klasma.github.io/Logging_1276/fåglar/A 45242-2025 prioriterade fågelarter.docx", "A 45242-2025")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46256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46256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46256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11673-2022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44633</v>
      </c>
      <c r="E22" s="1" t="n">
        <v>46256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Vanlig groda</t>
        </is>
      </c>
      <c r="W22">
        <f>HYPERLINK("https://klasma.github.io/Logging_1276/artfynd/A 11673-2022 artfynd.xlsx", "A 11673-2022")</f>
        <v/>
      </c>
      <c r="X22">
        <f>HYPERLINK("https://klasma.github.io/Logging_1276/kartor/A 11673-2022 karta.png", "A 11673-2022")</f>
        <v/>
      </c>
      <c r="Y22">
        <f>HYPERLINK("https://klasma.github.io/Logging_1276/kartor_geotiff/A 11673-2022 georefererad karta.tif", "A 11673-2022")</f>
        <v/>
      </c>
      <c r="AA22">
        <f>HYPERLINK("https://klasma.github.io/Logging_1276/klagomål/A 11673-2022 FSC-klagomål.docx", "A 11673-2022")</f>
        <v/>
      </c>
      <c r="AB22">
        <f>HYPERLINK("https://klasma.github.io/Logging_1276/klagomålsmail/A 11673-2022 FSC-klagomål mail.docx", "A 11673-2022")</f>
        <v/>
      </c>
      <c r="AC22">
        <f>HYPERLINK("https://klasma.github.io/Logging_1276/tillsyn/A 11673-2022 tillsynsbegäran.docx", "A 11673-2022")</f>
        <v/>
      </c>
      <c r="AD22">
        <f>HYPERLINK("https://klasma.github.io/Logging_1276/tillsynsmail/A 11673-2022 tillsynsbegäran mail.docx", "A 11673-2022")</f>
        <v/>
      </c>
      <c r="AE22">
        <f>HYPERLINK("https://klasma.github.io/Logging_1276/fåglar/A 11673-2022 prioriterade fågelarter.docx", "A 11673-2022")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46256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46256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46256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46256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46256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46256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46256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46256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15810-2024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45404</v>
      </c>
      <c r="E31" s="1" t="n">
        <v>46256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3.7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HYPERLINK("https://klasma.github.io/Logging_1276/artfynd/A 15810-2024 artfynd.xlsx", "A 15810-2024")</f>
        <v/>
      </c>
      <c r="X31">
        <f>HYPERLINK("https://klasma.github.io/Logging_1276/kartor/A 15810-2024 karta.png", "A 15810-2024")</f>
        <v/>
      </c>
      <c r="Y31">
        <f>HYPERLINK("https://klasma.github.io/Logging_1276/kartor_geotiff/A 15810-2024 georefererad karta.tif", "A 15810-2024")</f>
        <v/>
      </c>
      <c r="AA31">
        <f>HYPERLINK("https://klasma.github.io/Logging_1276/klagomål/A 15810-2024 FSC-klagomål.docx", "A 15810-2024")</f>
        <v/>
      </c>
      <c r="AB31">
        <f>HYPERLINK("https://klasma.github.io/Logging_1276/klagomålsmail/A 15810-2024 FSC-klagomål mail.docx", "A 15810-2024")</f>
        <v/>
      </c>
      <c r="AC31">
        <f>HYPERLINK("https://klasma.github.io/Logging_1276/tillsyn/A 15810-2024 tillsynsbegäran.docx", "A 15810-2024")</f>
        <v/>
      </c>
      <c r="AD31">
        <f>HYPERLINK("https://klasma.github.io/Logging_1276/tillsynsmail/A 15810-2024 tillsynsbegäran mail.docx", "A 15810-2024")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46256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HYPERLINK("https://klasma.github.io/Logging_1276/artfynd/A 44885-2022 artfynd.xlsx", "A 44885-2022")</f>
        <v/>
      </c>
      <c r="X32">
        <f>HYPERLINK("https://klasma.github.io/Logging_1276/kartor/A 44885-2022 karta.png", "A 44885-2022")</f>
        <v/>
      </c>
      <c r="Y32">
        <f>HYPERLINK("https://klasma.github.io/Logging_1276/kartor_geotiff/A 44885-2022 georefererad karta.tif", "A 44885-2022")</f>
        <v/>
      </c>
      <c r="AA32">
        <f>HYPERLINK("https://klasma.github.io/Logging_1276/klagomål/A 44885-2022 FSC-klagomål.docx", "A 44885-2022")</f>
        <v/>
      </c>
      <c r="AB32">
        <f>HYPERLINK("https://klasma.github.io/Logging_1276/klagomålsmail/A 44885-2022 FSC-klagomål mail.docx", "A 44885-2022")</f>
        <v/>
      </c>
      <c r="AC32">
        <f>HYPERLINK("https://klasma.github.io/Logging_1276/tillsyn/A 44885-2022 tillsynsbegäran.docx", "A 44885-2022")</f>
        <v/>
      </c>
      <c r="AD32">
        <f>HYPERLINK("https://klasma.github.io/Logging_1276/tillsynsmail/A 44885-2022 tillsynsbegäran mail.docx", "A 44885-2022")</f>
        <v/>
      </c>
    </row>
    <row r="33" ht="15" customHeight="1">
      <c r="A33" t="inlineStr">
        <is>
          <t>A 14892-2023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46256</v>
      </c>
      <c r="F33" t="inlineStr">
        <is>
          <t>SKÅNE LÄN</t>
        </is>
      </c>
      <c r="G33" t="inlineStr">
        <is>
          <t>KLIPPAN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14892-2023 artfynd.xlsx", "A 14892-2023")</f>
        <v/>
      </c>
      <c r="X33">
        <f>HYPERLINK("https://klasma.github.io/Logging_1276/kartor/A 14892-2023 karta.png", "A 14892-2023")</f>
        <v/>
      </c>
      <c r="Y33">
        <f>HYPERLINK("https://klasma.github.io/Logging_1276/kartor_geotiff/A 14892-2023 georefererad karta.tif", "A 14892-2023")</f>
        <v/>
      </c>
      <c r="AA33">
        <f>HYPERLINK("https://klasma.github.io/Logging_1276/klagomål/A 14892-2023 FSC-klagomål.docx", "A 14892-2023")</f>
        <v/>
      </c>
      <c r="AB33">
        <f>HYPERLINK("https://klasma.github.io/Logging_1276/klagomålsmail/A 14892-2023 FSC-klagomål mail.docx", "A 14892-2023")</f>
        <v/>
      </c>
      <c r="AC33">
        <f>HYPERLINK("https://klasma.github.io/Logging_1276/tillsyn/A 14892-2023 tillsynsbegäran.docx", "A 14892-2023")</f>
        <v/>
      </c>
      <c r="AD33">
        <f>HYPERLINK("https://klasma.github.io/Logging_1276/tillsynsmail/A 14892-2023 tillsynsbegäran mail.docx", "A 14892-2023")</f>
        <v/>
      </c>
      <c r="AE33">
        <f>HYPERLINK("https://klasma.github.io/Logging_1276/fåglar/A 14892-2023 prioriterade fågelarter.docx", "A 14892-2023")</f>
        <v/>
      </c>
    </row>
    <row r="34" ht="15" customHeight="1">
      <c r="A34" t="inlineStr">
        <is>
          <t>A 6446-2026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46256</v>
      </c>
      <c r="F34" t="inlineStr">
        <is>
          <t>SKÅNE LÄN</t>
        </is>
      </c>
      <c r="G34" t="inlineStr">
        <is>
          <t>KLIPPAN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HYPERLINK("https://klasma.github.io/Logging_1276/artfynd/A 6446-2026 artfynd.xlsx", "A 6446-2026")</f>
        <v/>
      </c>
      <c r="X34">
        <f>HYPERLINK("https://klasma.github.io/Logging_1276/kartor/A 6446-2026 karta.png", "A 6446-2026")</f>
        <v/>
      </c>
      <c r="Y34">
        <f>HYPERLINK("https://klasma.github.io/Logging_1276/kartor_geotiff/A 6446-2026 georefererad karta.tif", "A 6446-2026")</f>
        <v/>
      </c>
      <c r="AA34">
        <f>HYPERLINK("https://klasma.github.io/Logging_1276/klagomål/A 6446-2026 FSC-klagomål.docx", "A 6446-2026")</f>
        <v/>
      </c>
      <c r="AB34">
        <f>HYPERLINK("https://klasma.github.io/Logging_1276/klagomålsmail/A 6446-2026 FSC-klagomål mail.docx", "A 6446-2026")</f>
        <v/>
      </c>
      <c r="AC34">
        <f>HYPERLINK("https://klasma.github.io/Logging_1276/tillsyn/A 6446-2026 tillsynsbegäran.docx", "A 6446-2026")</f>
        <v/>
      </c>
      <c r="AD34">
        <f>HYPERLINK("https://klasma.github.io/Logging_1276/tillsynsmail/A 6446-2026 tillsynsbegäran mail.docx", "A 6446-2026")</f>
        <v/>
      </c>
    </row>
    <row r="35" ht="15" customHeight="1">
      <c r="A35" t="inlineStr">
        <is>
          <t>A 31279-2026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46218</v>
      </c>
      <c r="E35" s="1" t="n">
        <v>46256</v>
      </c>
      <c r="F35" t="inlineStr">
        <is>
          <t>SKÅNE LÄN</t>
        </is>
      </c>
      <c r="G35" t="inlineStr">
        <is>
          <t>KLIPPAN</t>
        </is>
      </c>
      <c r="I35" t="n">
        <v>2.3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Dvärghäxört</t>
        </is>
      </c>
      <c r="W35">
        <f>HYPERLINK("https://klasma.github.io/Logging_1276/artfynd/A 31279-2026 artfynd.xlsx", "A 31279-2026")</f>
        <v/>
      </c>
      <c r="X35">
        <f>HYPERLINK("https://klasma.github.io/Logging_1276/kartor/A 31279-2026 karta.png", "A 31279-2026")</f>
        <v/>
      </c>
      <c r="Y35">
        <f>HYPERLINK("https://klasma.github.io/Logging_1276/kartor_geotiff/A 31279-2026 georefererad karta.tif", "A 31279-2026")</f>
        <v/>
      </c>
      <c r="AA35">
        <f>HYPERLINK("https://klasma.github.io/Logging_1276/klagomål/A 31279-2026 FSC-klagomål.docx", "A 31279-2026")</f>
        <v/>
      </c>
      <c r="AB35">
        <f>HYPERLINK("https://klasma.github.io/Logging_1276/klagomålsmail/A 31279-2026 FSC-klagomål mail.docx", "A 31279-2026")</f>
        <v/>
      </c>
      <c r="AC35">
        <f>HYPERLINK("https://klasma.github.io/Logging_1276/tillsyn/A 31279-2026 tillsynsbegäran.docx", "A 31279-2026")</f>
        <v/>
      </c>
      <c r="AD35">
        <f>HYPERLINK("https://klasma.github.io/Logging_1276/tillsynsmail/A 31279-2026 tillsynsbegäran mail.docx", "A 31279-2026")</f>
        <v/>
      </c>
    </row>
    <row r="36" ht="15" customHeight="1">
      <c r="A36" t="inlineStr">
        <is>
          <t>A 46147-2022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46256</v>
      </c>
      <c r="F36" t="inlineStr">
        <is>
          <t>SKÅNE LÄN</t>
        </is>
      </c>
      <c r="G36" t="inlineStr">
        <is>
          <t>KLIPPAN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Västlig hakmossa</t>
        </is>
      </c>
      <c r="W36">
        <f>HYPERLINK("https://klasma.github.io/Logging_1276/artfynd/A 46147-2022 artfynd.xlsx", "A 46147-2022")</f>
        <v/>
      </c>
      <c r="X36">
        <f>HYPERLINK("https://klasma.github.io/Logging_1276/kartor/A 46147-2022 karta.png", "A 46147-2022")</f>
        <v/>
      </c>
      <c r="Y36">
        <f>HYPERLINK("https://klasma.github.io/Logging_1276/kartor_geotiff/A 46147-2022 georefererad karta.tif", "A 46147-2022")</f>
        <v/>
      </c>
      <c r="AA36">
        <f>HYPERLINK("https://klasma.github.io/Logging_1276/klagomål/A 46147-2022 FSC-klagomål.docx", "A 46147-2022")</f>
        <v/>
      </c>
      <c r="AB36">
        <f>HYPERLINK("https://klasma.github.io/Logging_1276/klagomålsmail/A 46147-2022 FSC-klagomål mail.docx", "A 46147-2022")</f>
        <v/>
      </c>
      <c r="AC36">
        <f>HYPERLINK("https://klasma.github.io/Logging_1276/tillsyn/A 46147-2022 tillsynsbegäran.docx", "A 46147-2022")</f>
        <v/>
      </c>
      <c r="AD36">
        <f>HYPERLINK("https://klasma.github.io/Logging_1276/tillsynsmail/A 46147-2022 tillsynsbegäran mail.docx", "A 46147-2022")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46256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46256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10000-2025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45719</v>
      </c>
      <c r="E39" s="1" t="n">
        <v>46256</v>
      </c>
      <c r="F39" t="inlineStr">
        <is>
          <t>SKÅNE LÄN</t>
        </is>
      </c>
      <c r="G39" t="inlineStr">
        <is>
          <t>KLIPPAN</t>
        </is>
      </c>
      <c r="I39" t="n">
        <v>2.6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10000-2025 artfynd.xlsx", "A 10000-2025")</f>
        <v/>
      </c>
      <c r="X39">
        <f>HYPERLINK("https://klasma.github.io/Logging_1276/kartor/A 10000-2025 karta.png", "A 10000-2025")</f>
        <v/>
      </c>
      <c r="Y39">
        <f>HYPERLINK("https://klasma.github.io/Logging_1276/kartor_geotiff/A 10000-2025 georefererad karta.tif", "A 10000-2025")</f>
        <v/>
      </c>
      <c r="AA39">
        <f>HYPERLINK("https://klasma.github.io/Logging_1276/klagomål/A 10000-2025 FSC-klagomål.docx", "A 10000-2025")</f>
        <v/>
      </c>
      <c r="AB39">
        <f>HYPERLINK("https://klasma.github.io/Logging_1276/klagomålsmail/A 10000-2025 FSC-klagomål mail.docx", "A 10000-2025")</f>
        <v/>
      </c>
      <c r="AC39">
        <f>HYPERLINK("https://klasma.github.io/Logging_1276/tillsyn/A 10000-2025 tillsynsbegäran.docx", "A 10000-2025")</f>
        <v/>
      </c>
      <c r="AD39">
        <f>HYPERLINK("https://klasma.github.io/Logging_1276/tillsynsmail/A 10000-2025 tillsynsbegäran mail.docx", "A 10000-2025")</f>
        <v/>
      </c>
    </row>
    <row r="40" ht="15" customHeight="1">
      <c r="A40" t="inlineStr">
        <is>
          <t>A 21788-2026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46150</v>
      </c>
      <c r="E40" s="1" t="n">
        <v>46256</v>
      </c>
      <c r="F40" t="inlineStr">
        <is>
          <t>SKÅNE LÄN</t>
        </is>
      </c>
      <c r="G40" t="inlineStr">
        <is>
          <t>KLIPPAN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Bäckbräsma</t>
        </is>
      </c>
      <c r="W40">
        <f>HYPERLINK("https://klasma.github.io/Logging_1276/artfynd/A 21788-2026 artfynd.xlsx", "A 21788-2026")</f>
        <v/>
      </c>
      <c r="X40">
        <f>HYPERLINK("https://klasma.github.io/Logging_1276/kartor/A 21788-2026 karta.png", "A 21788-2026")</f>
        <v/>
      </c>
      <c r="Y40">
        <f>HYPERLINK("https://klasma.github.io/Logging_1276/kartor_geotiff/A 21788-2026 georefererad karta.tif", "A 21788-2026")</f>
        <v/>
      </c>
      <c r="AA40">
        <f>HYPERLINK("https://klasma.github.io/Logging_1276/klagomål/A 21788-2026 FSC-klagomål.docx", "A 21788-2026")</f>
        <v/>
      </c>
      <c r="AB40">
        <f>HYPERLINK("https://klasma.github.io/Logging_1276/klagomålsmail/A 21788-2026 FSC-klagomål mail.docx", "A 21788-2026")</f>
        <v/>
      </c>
      <c r="AC40">
        <f>HYPERLINK("https://klasma.github.io/Logging_1276/tillsyn/A 21788-2026 tillsynsbegäran.docx", "A 21788-2026")</f>
        <v/>
      </c>
      <c r="AD40">
        <f>HYPERLINK("https://klasma.github.io/Logging_1276/tillsynsmail/A 21788-2026 tillsynsbegäran mail.docx", "A 21788-2026")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46256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46256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46256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46256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46256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46256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46256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46256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46256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46256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46256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46256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46256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46256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46256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46256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46256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46256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46256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46256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46256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46256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46256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46256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46256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44228-2024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46256</v>
      </c>
      <c r="F66" t="inlineStr">
        <is>
          <t>SKÅNE LÄN</t>
        </is>
      </c>
      <c r="G66" t="inlineStr">
        <is>
          <t>KLIPPAN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46256</v>
      </c>
      <c r="F67" t="inlineStr">
        <is>
          <t>SKÅNE LÄN</t>
        </is>
      </c>
      <c r="G67" t="inlineStr">
        <is>
          <t>KLIPPAN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69394-2021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44531</v>
      </c>
      <c r="E68" s="1" t="n">
        <v>46256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17425-2022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44679</v>
      </c>
      <c r="E69" s="1" t="n">
        <v>46256</v>
      </c>
      <c r="F69" t="inlineStr">
        <is>
          <t>SKÅNE LÄN</t>
        </is>
      </c>
      <c r="G69" t="inlineStr">
        <is>
          <t>KLIPPAN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24333-2022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44726</v>
      </c>
      <c r="E70" s="1" t="n">
        <v>46256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56089-2021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46256</v>
      </c>
      <c r="F71" t="inlineStr">
        <is>
          <t>SKÅNE LÄN</t>
        </is>
      </c>
      <c r="G71" t="inlineStr">
        <is>
          <t>KLIPPAN</t>
        </is>
      </c>
      <c r="I71" t="n">
        <v>20.9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46256</v>
      </c>
      <c r="F72" t="inlineStr">
        <is>
          <t>SKÅNE LÄN</t>
        </is>
      </c>
      <c r="G72" t="inlineStr">
        <is>
          <t>KLIPPAN</t>
        </is>
      </c>
      <c r="I72" t="n">
        <v>7.8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38156-2022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46256</v>
      </c>
      <c r="F73" t="inlineStr">
        <is>
          <t>SKÅNE LÄN</t>
        </is>
      </c>
      <c r="G73" t="inlineStr">
        <is>
          <t>KLIPPAN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46256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46256</v>
      </c>
      <c r="F75" t="inlineStr">
        <is>
          <t>SKÅNE LÄN</t>
        </is>
      </c>
      <c r="G75" t="inlineStr">
        <is>
          <t>KLIPPAN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27898-2025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46256</v>
      </c>
      <c r="F76" t="inlineStr">
        <is>
          <t>SKÅNE LÄN</t>
        </is>
      </c>
      <c r="G76" t="inlineStr">
        <is>
          <t>KLIPPAN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45638</v>
      </c>
      <c r="E77" s="1" t="n">
        <v>46256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45094</v>
      </c>
      <c r="E78" s="1" t="n">
        <v>46256</v>
      </c>
      <c r="F78" t="inlineStr">
        <is>
          <t>SKÅNE LÄN</t>
        </is>
      </c>
      <c r="G78" t="inlineStr">
        <is>
          <t>KLIPPAN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10544-2025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45721</v>
      </c>
      <c r="E79" s="1" t="n">
        <v>46256</v>
      </c>
      <c r="F79" t="inlineStr">
        <is>
          <t>SKÅNE LÄN</t>
        </is>
      </c>
      <c r="G79" t="inlineStr">
        <is>
          <t>KLIPPAN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44448</v>
      </c>
      <c r="E80" s="1" t="n">
        <v>46256</v>
      </c>
      <c r="F80" t="inlineStr">
        <is>
          <t>SKÅNE LÄN</t>
        </is>
      </c>
      <c r="G80" t="inlineStr">
        <is>
          <t>KLIPPAN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45170</v>
      </c>
      <c r="E81" s="1" t="n">
        <v>46256</v>
      </c>
      <c r="F81" t="inlineStr">
        <is>
          <t>SKÅNE LÄN</t>
        </is>
      </c>
      <c r="G81" t="inlineStr">
        <is>
          <t>KLIPPAN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55833-2023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45239</v>
      </c>
      <c r="E82" s="1" t="n">
        <v>46256</v>
      </c>
      <c r="F82" t="inlineStr">
        <is>
          <t>SKÅNE LÄN</t>
        </is>
      </c>
      <c r="G82" t="inlineStr">
        <is>
          <t>KLIPPAN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43855-2022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44838</v>
      </c>
      <c r="E83" s="1" t="n">
        <v>46256</v>
      </c>
      <c r="F83" t="inlineStr">
        <is>
          <t>SKÅNE LÄN</t>
        </is>
      </c>
      <c r="G83" t="inlineStr">
        <is>
          <t>KLIPPAN</t>
        </is>
      </c>
      <c r="H83" t="inlineStr">
        <is>
          <t>Sveaskog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20128-2023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46256</v>
      </c>
      <c r="F84" t="inlineStr">
        <is>
          <t>SKÅNE LÄN</t>
        </is>
      </c>
      <c r="G84" t="inlineStr">
        <is>
          <t>KLIPPAN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45673</v>
      </c>
      <c r="E85" s="1" t="n">
        <v>46256</v>
      </c>
      <c r="F85" t="inlineStr">
        <is>
          <t>SKÅNE LÄN</t>
        </is>
      </c>
      <c r="G85" t="inlineStr">
        <is>
          <t>KLIPPAN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45660</v>
      </c>
      <c r="E86" s="1" t="n">
        <v>46256</v>
      </c>
      <c r="F86" t="inlineStr">
        <is>
          <t>SKÅNE LÄN</t>
        </is>
      </c>
      <c r="G86" t="inlineStr">
        <is>
          <t>KLIPPAN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45264</v>
      </c>
      <c r="E87" s="1" t="n">
        <v>46256</v>
      </c>
      <c r="F87" t="inlineStr">
        <is>
          <t>SKÅNE LÄN</t>
        </is>
      </c>
      <c r="G87" t="inlineStr">
        <is>
          <t>KLIPPAN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46256</v>
      </c>
      <c r="F88" t="inlineStr">
        <is>
          <t>SKÅNE LÄN</t>
        </is>
      </c>
      <c r="G88" t="inlineStr">
        <is>
          <t>KLIPPAN</t>
        </is>
      </c>
      <c r="H88" t="inlineStr">
        <is>
          <t>Övriga Aktiebolag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45223</v>
      </c>
      <c r="E89" s="1" t="n">
        <v>46256</v>
      </c>
      <c r="F89" t="inlineStr">
        <is>
          <t>SKÅNE LÄN</t>
        </is>
      </c>
      <c r="G89" t="inlineStr">
        <is>
          <t>KLIPPAN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46256</v>
      </c>
      <c r="F90" t="inlineStr">
        <is>
          <t>SKÅNE LÄN</t>
        </is>
      </c>
      <c r="G90" t="inlineStr">
        <is>
          <t>KLIPPAN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28847-2023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45104</v>
      </c>
      <c r="E91" s="1" t="n">
        <v>46256</v>
      </c>
      <c r="F91" t="inlineStr">
        <is>
          <t>SKÅNE LÄN</t>
        </is>
      </c>
      <c r="G91" t="inlineStr">
        <is>
          <t>KLIPPAN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34479-2025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45847</v>
      </c>
      <c r="E92" s="1" t="n">
        <v>46256</v>
      </c>
      <c r="F92" t="inlineStr">
        <is>
          <t>SKÅNE LÄN</t>
        </is>
      </c>
      <c r="G92" t="inlineStr">
        <is>
          <t>KLIPPAN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29284-2025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45824</v>
      </c>
      <c r="E93" s="1" t="n">
        <v>46256</v>
      </c>
      <c r="F93" t="inlineStr">
        <is>
          <t>SKÅNE LÄN</t>
        </is>
      </c>
      <c r="G93" t="inlineStr">
        <is>
          <t>KLIPPAN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46256</v>
      </c>
      <c r="F94" t="inlineStr">
        <is>
          <t>SKÅNE LÄN</t>
        </is>
      </c>
      <c r="G94" t="inlineStr">
        <is>
          <t>KLIPPAN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44944</v>
      </c>
      <c r="E95" s="1" t="n">
        <v>46256</v>
      </c>
      <c r="F95" t="inlineStr">
        <is>
          <t>SKÅNE LÄN</t>
        </is>
      </c>
      <c r="G95" t="inlineStr">
        <is>
          <t>KLIPPAN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46256</v>
      </c>
      <c r="F96" t="inlineStr">
        <is>
          <t>SKÅNE LÄN</t>
        </is>
      </c>
      <c r="G96" t="inlineStr">
        <is>
          <t>KLIPPAN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44944</v>
      </c>
      <c r="E97" s="1" t="n">
        <v>46256</v>
      </c>
      <c r="F97" t="inlineStr">
        <is>
          <t>SKÅNE LÄN</t>
        </is>
      </c>
      <c r="G97" t="inlineStr">
        <is>
          <t>KLIPPAN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45523</v>
      </c>
      <c r="E98" s="1" t="n">
        <v>46256</v>
      </c>
      <c r="F98" t="inlineStr">
        <is>
          <t>SKÅNE LÄN</t>
        </is>
      </c>
      <c r="G98" t="inlineStr">
        <is>
          <t>KLIPPAN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44880</v>
      </c>
      <c r="E99" s="1" t="n">
        <v>46256</v>
      </c>
      <c r="F99" t="inlineStr">
        <is>
          <t>SKÅNE LÄN</t>
        </is>
      </c>
      <c r="G99" t="inlineStr">
        <is>
          <t>KLIPPAN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45835</v>
      </c>
      <c r="E100" s="1" t="n">
        <v>46256</v>
      </c>
      <c r="F100" t="inlineStr">
        <is>
          <t>SKÅNE LÄN</t>
        </is>
      </c>
      <c r="G100" t="inlineStr">
        <is>
          <t>KLIPPAN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46728-2023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45198</v>
      </c>
      <c r="E101" s="1" t="n">
        <v>46256</v>
      </c>
      <c r="F101" t="inlineStr">
        <is>
          <t>SKÅNE LÄN</t>
        </is>
      </c>
      <c r="G101" t="inlineStr">
        <is>
          <t>KLIPPAN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25393-2023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45079</v>
      </c>
      <c r="E102" s="1" t="n">
        <v>46256</v>
      </c>
      <c r="F102" t="inlineStr">
        <is>
          <t>SKÅNE LÄN</t>
        </is>
      </c>
      <c r="G102" t="inlineStr">
        <is>
          <t>KLIPPAN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45096-2025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45919</v>
      </c>
      <c r="E103" s="1" t="n">
        <v>46256</v>
      </c>
      <c r="F103" t="inlineStr">
        <is>
          <t>SKÅNE LÄN</t>
        </is>
      </c>
      <c r="G103" t="inlineStr">
        <is>
          <t>KLIPPAN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46256</v>
      </c>
      <c r="F104" t="inlineStr">
        <is>
          <t>SKÅNE LÄN</t>
        </is>
      </c>
      <c r="G104" t="inlineStr">
        <is>
          <t>KLIPPAN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45320</v>
      </c>
      <c r="E105" s="1" t="n">
        <v>46256</v>
      </c>
      <c r="F105" t="inlineStr">
        <is>
          <t>SKÅNE LÄN</t>
        </is>
      </c>
      <c r="G105" t="inlineStr">
        <is>
          <t>KLIPPAN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41294-2022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44825</v>
      </c>
      <c r="E106" s="1" t="n">
        <v>46256</v>
      </c>
      <c r="F106" t="inlineStr">
        <is>
          <t>SKÅNE LÄN</t>
        </is>
      </c>
      <c r="G106" t="inlineStr">
        <is>
          <t>KLIPPAN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45548</v>
      </c>
      <c r="E107" s="1" t="n">
        <v>46256</v>
      </c>
      <c r="F107" t="inlineStr">
        <is>
          <t>SKÅNE LÄN</t>
        </is>
      </c>
      <c r="G107" t="inlineStr">
        <is>
          <t>KLIPPAN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44978</v>
      </c>
      <c r="E108" s="1" t="n">
        <v>46256</v>
      </c>
      <c r="F108" t="inlineStr">
        <is>
          <t>SKÅNE LÄN</t>
        </is>
      </c>
      <c r="G108" t="inlineStr">
        <is>
          <t>KLIPPAN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28844-2023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45104</v>
      </c>
      <c r="E109" s="1" t="n">
        <v>46256</v>
      </c>
      <c r="F109" t="inlineStr">
        <is>
          <t>SKÅNE LÄN</t>
        </is>
      </c>
      <c r="G109" t="inlineStr">
        <is>
          <t>KLIPPAN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49073-2024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46256</v>
      </c>
      <c r="F110" t="inlineStr">
        <is>
          <t>SKÅNE LÄN</t>
        </is>
      </c>
      <c r="G110" t="inlineStr">
        <is>
          <t>KLIPPAN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46256</v>
      </c>
      <c r="F111" t="inlineStr">
        <is>
          <t>SKÅNE LÄN</t>
        </is>
      </c>
      <c r="G111" t="inlineStr">
        <is>
          <t>KLIPPAN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44944</v>
      </c>
      <c r="E112" s="1" t="n">
        <v>46256</v>
      </c>
      <c r="F112" t="inlineStr">
        <is>
          <t>SKÅNE LÄN</t>
        </is>
      </c>
      <c r="G112" t="inlineStr">
        <is>
          <t>KLIPPAN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44930</v>
      </c>
      <c r="E113" s="1" t="n">
        <v>46256</v>
      </c>
      <c r="F113" t="inlineStr">
        <is>
          <t>SKÅNE LÄN</t>
        </is>
      </c>
      <c r="G113" t="inlineStr">
        <is>
          <t>KLIPPAN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45519</v>
      </c>
      <c r="E114" s="1" t="n">
        <v>46256</v>
      </c>
      <c r="F114" t="inlineStr">
        <is>
          <t>SKÅNE LÄN</t>
        </is>
      </c>
      <c r="G114" t="inlineStr">
        <is>
          <t>KLIPPAN</t>
        </is>
      </c>
      <c r="H114" t="inlineStr">
        <is>
          <t>Sveaskog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46256</v>
      </c>
      <c r="F115" t="inlineStr">
        <is>
          <t>SKÅNE LÄN</t>
        </is>
      </c>
      <c r="G115" t="inlineStr">
        <is>
          <t>KLIPPAN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46256</v>
      </c>
      <c r="F116" t="inlineStr">
        <is>
          <t>SKÅNE LÄN</t>
        </is>
      </c>
      <c r="G116" t="inlineStr">
        <is>
          <t>KLIPPAN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45328</v>
      </c>
      <c r="E117" s="1" t="n">
        <v>46256</v>
      </c>
      <c r="F117" t="inlineStr">
        <is>
          <t>SKÅNE LÄN</t>
        </is>
      </c>
      <c r="G117" t="inlineStr">
        <is>
          <t>KLIPPAN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36842-2024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45538</v>
      </c>
      <c r="E118" s="1" t="n">
        <v>46256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45894</v>
      </c>
      <c r="E119" s="1" t="n">
        <v>46256</v>
      </c>
      <c r="F119" t="inlineStr">
        <is>
          <t>SKÅNE LÄN</t>
        </is>
      </c>
      <c r="G119" t="inlineStr">
        <is>
          <t>KLIPPAN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51396-2025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46256</v>
      </c>
      <c r="F120" t="inlineStr">
        <is>
          <t>SKÅNE LÄN</t>
        </is>
      </c>
      <c r="G120" t="inlineStr">
        <is>
          <t>KLIPPAN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45399</v>
      </c>
      <c r="E121" s="1" t="n">
        <v>46256</v>
      </c>
      <c r="F121" t="inlineStr">
        <is>
          <t>SKÅNE LÄN</t>
        </is>
      </c>
      <c r="G121" t="inlineStr">
        <is>
          <t>KLIPPAN</t>
        </is>
      </c>
      <c r="H121" t="inlineStr">
        <is>
          <t>Övriga Aktiebolag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45324</v>
      </c>
      <c r="E122" s="1" t="n">
        <v>46256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44928</v>
      </c>
      <c r="E123" s="1" t="n">
        <v>46256</v>
      </c>
      <c r="F123" t="inlineStr">
        <is>
          <t>SKÅNE LÄN</t>
        </is>
      </c>
      <c r="G123" t="inlineStr">
        <is>
          <t>KLIPPAN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44977</v>
      </c>
      <c r="E124" s="1" t="n">
        <v>46256</v>
      </c>
      <c r="F124" t="inlineStr">
        <is>
          <t>SKÅNE LÄN</t>
        </is>
      </c>
      <c r="G124" t="inlineStr">
        <is>
          <t>KLIPPAN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38724-2023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46256</v>
      </c>
      <c r="F125" t="inlineStr">
        <is>
          <t>SKÅNE LÄN</t>
        </is>
      </c>
      <c r="G125" t="inlineStr">
        <is>
          <t>KLIPPAN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58642-2021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44489</v>
      </c>
      <c r="E126" s="1" t="n">
        <v>46256</v>
      </c>
      <c r="F126" t="inlineStr">
        <is>
          <t>SKÅNE LÄN</t>
        </is>
      </c>
      <c r="G126" t="inlineStr">
        <is>
          <t>KLIPPAN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55291-2023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45237</v>
      </c>
      <c r="E127" s="1" t="n">
        <v>46256</v>
      </c>
      <c r="F127" t="inlineStr">
        <is>
          <t>SKÅNE LÄN</t>
        </is>
      </c>
      <c r="G127" t="inlineStr">
        <is>
          <t>KLIPPAN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44593</v>
      </c>
      <c r="E128" s="1" t="n">
        <v>46256</v>
      </c>
      <c r="F128" t="inlineStr">
        <is>
          <t>SKÅNE LÄN</t>
        </is>
      </c>
      <c r="G128" t="inlineStr">
        <is>
          <t>KLIPPAN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45086</v>
      </c>
      <c r="E129" s="1" t="n">
        <v>46256</v>
      </c>
      <c r="F129" t="inlineStr">
        <is>
          <t>SKÅNE LÄN</t>
        </is>
      </c>
      <c r="G129" t="inlineStr">
        <is>
          <t>KLIPPAN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69041-2021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44529</v>
      </c>
      <c r="E130" s="1" t="n">
        <v>46256</v>
      </c>
      <c r="F130" t="inlineStr">
        <is>
          <t>SKÅNE LÄN</t>
        </is>
      </c>
      <c r="G130" t="inlineStr">
        <is>
          <t>KLIPPAN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46256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46256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46256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45040</v>
      </c>
      <c r="E134" s="1" t="n">
        <v>46256</v>
      </c>
      <c r="F134" t="inlineStr">
        <is>
          <t>SKÅNE LÄN</t>
        </is>
      </c>
      <c r="G134" t="inlineStr">
        <is>
          <t>KLIPPAN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46256</v>
      </c>
      <c r="F135" t="inlineStr">
        <is>
          <t>SKÅNE LÄN</t>
        </is>
      </c>
      <c r="G135" t="inlineStr">
        <is>
          <t>KLIPPAN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55586-2021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46256</v>
      </c>
      <c r="F136" t="inlineStr">
        <is>
          <t>SKÅNE LÄN</t>
        </is>
      </c>
      <c r="G136" t="inlineStr">
        <is>
          <t>KLIPPAN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44988</v>
      </c>
      <c r="E137" s="1" t="n">
        <v>46256</v>
      </c>
      <c r="F137" t="inlineStr">
        <is>
          <t>SKÅNE LÄN</t>
        </is>
      </c>
      <c r="G137" t="inlineStr">
        <is>
          <t>KLIPPAN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45260</v>
      </c>
      <c r="E138" s="1" t="n">
        <v>46256</v>
      </c>
      <c r="F138" t="inlineStr">
        <is>
          <t>SKÅNE LÄN</t>
        </is>
      </c>
      <c r="G138" t="inlineStr">
        <is>
          <t>KLIPPAN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23681-2023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45077</v>
      </c>
      <c r="E139" s="1" t="n">
        <v>46256</v>
      </c>
      <c r="F139" t="inlineStr">
        <is>
          <t>SKÅNE LÄN</t>
        </is>
      </c>
      <c r="G139" t="inlineStr">
        <is>
          <t>KLIPPAN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46256</v>
      </c>
      <c r="F140" t="inlineStr">
        <is>
          <t>SKÅNE LÄN</t>
        </is>
      </c>
      <c r="G140" t="inlineStr">
        <is>
          <t>KLIPPAN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46256</v>
      </c>
      <c r="F141" t="inlineStr">
        <is>
          <t>SKÅNE LÄN</t>
        </is>
      </c>
      <c r="G141" t="inlineStr">
        <is>
          <t>KLIPPAN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46256</v>
      </c>
      <c r="F142" t="inlineStr">
        <is>
          <t>SKÅNE LÄN</t>
        </is>
      </c>
      <c r="G142" t="inlineStr">
        <is>
          <t>KLIPPAN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44841</v>
      </c>
      <c r="E143" s="1" t="n">
        <v>46256</v>
      </c>
      <c r="F143" t="inlineStr">
        <is>
          <t>SKÅNE LÄN</t>
        </is>
      </c>
      <c r="G143" t="inlineStr">
        <is>
          <t>KLIPPAN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45419</v>
      </c>
      <c r="E144" s="1" t="n">
        <v>46256</v>
      </c>
      <c r="F144" t="inlineStr">
        <is>
          <t>SKÅNE LÄN</t>
        </is>
      </c>
      <c r="G144" t="inlineStr">
        <is>
          <t>KLIPPAN</t>
        </is>
      </c>
      <c r="H144" t="inlineStr">
        <is>
          <t>Övriga Aktiebolag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45013</v>
      </c>
      <c r="E145" s="1" t="n">
        <v>46256</v>
      </c>
      <c r="F145" t="inlineStr">
        <is>
          <t>SKÅNE LÄN</t>
        </is>
      </c>
      <c r="G145" t="inlineStr">
        <is>
          <t>KLIPPAN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45739</v>
      </c>
      <c r="E146" s="1" t="n">
        <v>46256</v>
      </c>
      <c r="F146" t="inlineStr">
        <is>
          <t>SKÅNE LÄN</t>
        </is>
      </c>
      <c r="G146" t="inlineStr">
        <is>
          <t>KLIPPAN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45785</v>
      </c>
      <c r="E147" s="1" t="n">
        <v>46256</v>
      </c>
      <c r="F147" t="inlineStr">
        <is>
          <t>SKÅNE LÄN</t>
        </is>
      </c>
      <c r="G147" t="inlineStr">
        <is>
          <t>KLIPPAN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39238-2022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44817</v>
      </c>
      <c r="E148" s="1" t="n">
        <v>46256</v>
      </c>
      <c r="F148" t="inlineStr">
        <is>
          <t>SKÅNE LÄN</t>
        </is>
      </c>
      <c r="G148" t="inlineStr">
        <is>
          <t>KLIPPAN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46256</v>
      </c>
      <c r="F149" t="inlineStr">
        <is>
          <t>SKÅNE LÄN</t>
        </is>
      </c>
      <c r="G149" t="inlineStr">
        <is>
          <t>KLIPPAN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46256</v>
      </c>
      <c r="F150" t="inlineStr">
        <is>
          <t>SKÅNE LÄN</t>
        </is>
      </c>
      <c r="G150" t="inlineStr">
        <is>
          <t>KLIPPAN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44991</v>
      </c>
      <c r="E151" s="1" t="n">
        <v>46256</v>
      </c>
      <c r="F151" t="inlineStr">
        <is>
          <t>SKÅNE LÄN</t>
        </is>
      </c>
      <c r="G151" t="inlineStr">
        <is>
          <t>KLIPPAN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46256</v>
      </c>
      <c r="F152" t="inlineStr">
        <is>
          <t>SKÅNE LÄN</t>
        </is>
      </c>
      <c r="G152" t="inlineStr">
        <is>
          <t>KLIPPAN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46027</v>
      </c>
      <c r="E153" s="1" t="n">
        <v>46256</v>
      </c>
      <c r="F153" t="inlineStr">
        <is>
          <t>SKÅNE LÄN</t>
        </is>
      </c>
      <c r="G153" t="inlineStr">
        <is>
          <t>KLIPPAN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45739</v>
      </c>
      <c r="E154" s="1" t="n">
        <v>46256</v>
      </c>
      <c r="F154" t="inlineStr">
        <is>
          <t>SKÅNE LÄN</t>
        </is>
      </c>
      <c r="G154" t="inlineStr">
        <is>
          <t>KLIPPAN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39244-2022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46256</v>
      </c>
      <c r="F155" t="inlineStr">
        <is>
          <t>SKÅNE LÄN</t>
        </is>
      </c>
      <c r="G155" t="inlineStr">
        <is>
          <t>KLIPPAN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45055</v>
      </c>
      <c r="E156" s="1" t="n">
        <v>46256</v>
      </c>
      <c r="F156" t="inlineStr">
        <is>
          <t>SKÅNE LÄN</t>
        </is>
      </c>
      <c r="G156" t="inlineStr">
        <is>
          <t>KLIPPAN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45562</v>
      </c>
      <c r="E157" s="1" t="n">
        <v>46256</v>
      </c>
      <c r="F157" t="inlineStr">
        <is>
          <t>SKÅNE LÄN</t>
        </is>
      </c>
      <c r="G157" t="inlineStr">
        <is>
          <t>KLIPPAN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46256</v>
      </c>
      <c r="F158" t="inlineStr">
        <is>
          <t>SKÅNE LÄN</t>
        </is>
      </c>
      <c r="G158" t="inlineStr">
        <is>
          <t>KLIPPAN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24034-2023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45078</v>
      </c>
      <c r="E159" s="1" t="n">
        <v>46256</v>
      </c>
      <c r="F159" t="inlineStr">
        <is>
          <t>SKÅNE LÄN</t>
        </is>
      </c>
      <c r="G159" t="inlineStr">
        <is>
          <t>KLIPPAN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44593</v>
      </c>
      <c r="E160" s="1" t="n">
        <v>46256</v>
      </c>
      <c r="F160" t="inlineStr">
        <is>
          <t>SKÅNE LÄN</t>
        </is>
      </c>
      <c r="G160" t="inlineStr">
        <is>
          <t>KLIPPAN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55588-2021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44475</v>
      </c>
      <c r="E161" s="1" t="n">
        <v>46256</v>
      </c>
      <c r="F161" t="inlineStr">
        <is>
          <t>SKÅNE LÄN</t>
        </is>
      </c>
      <c r="G161" t="inlineStr">
        <is>
          <t>KLIPPAN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46256</v>
      </c>
      <c r="F162" t="inlineStr">
        <is>
          <t>SKÅNE LÄN</t>
        </is>
      </c>
      <c r="G162" t="inlineStr">
        <is>
          <t>KLIPPAN</t>
        </is>
      </c>
      <c r="I162" t="n">
        <v>7.9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45224</v>
      </c>
      <c r="E163" s="1" t="n">
        <v>46256</v>
      </c>
      <c r="F163" t="inlineStr">
        <is>
          <t>SKÅNE LÄN</t>
        </is>
      </c>
      <c r="G163" t="inlineStr">
        <is>
          <t>KLIPPAN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45583</v>
      </c>
      <c r="E164" s="1" t="n">
        <v>46256</v>
      </c>
      <c r="F164" t="inlineStr">
        <is>
          <t>SKÅNE LÄN</t>
        </is>
      </c>
      <c r="G164" t="inlineStr">
        <is>
          <t>KLIPPAN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50357-2021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44455</v>
      </c>
      <c r="E165" s="1" t="n">
        <v>46256</v>
      </c>
      <c r="F165" t="inlineStr">
        <is>
          <t>SKÅNE LÄN</t>
        </is>
      </c>
      <c r="G165" t="inlineStr">
        <is>
          <t>KLIPPAN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45641-2022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44845</v>
      </c>
      <c r="E166" s="1" t="n">
        <v>46256</v>
      </c>
      <c r="F166" t="inlineStr">
        <is>
          <t>SKÅNE LÄN</t>
        </is>
      </c>
      <c r="G166" t="inlineStr">
        <is>
          <t>KLIPPAN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45442</v>
      </c>
      <c r="E167" s="1" t="n">
        <v>46256</v>
      </c>
      <c r="F167" t="inlineStr">
        <is>
          <t>SKÅNE LÄN</t>
        </is>
      </c>
      <c r="G167" t="inlineStr">
        <is>
          <t>KLIPPAN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46256</v>
      </c>
      <c r="F168" t="inlineStr">
        <is>
          <t>SKÅNE LÄN</t>
        </is>
      </c>
      <c r="G168" t="inlineStr">
        <is>
          <t>KLIPPAN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46256</v>
      </c>
      <c r="F169" t="inlineStr">
        <is>
          <t>SKÅNE LÄN</t>
        </is>
      </c>
      <c r="G169" t="inlineStr">
        <is>
          <t>KLIPPAN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46256</v>
      </c>
      <c r="F170" t="inlineStr">
        <is>
          <t>SKÅNE LÄN</t>
        </is>
      </c>
      <c r="G170" t="inlineStr">
        <is>
          <t>KLIPPAN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14619-2023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45013</v>
      </c>
      <c r="E171" s="1" t="n">
        <v>46256</v>
      </c>
      <c r="F171" t="inlineStr">
        <is>
          <t>SKÅNE LÄN</t>
        </is>
      </c>
      <c r="G171" t="inlineStr">
        <is>
          <t>KLIPPAN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46216</v>
      </c>
      <c r="E172" s="1" t="n">
        <v>46256</v>
      </c>
      <c r="F172" t="inlineStr">
        <is>
          <t>SKÅNE LÄN</t>
        </is>
      </c>
      <c r="G172" t="inlineStr">
        <is>
          <t>KLIPPAN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31121-2026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46256</v>
      </c>
      <c r="F173" t="inlineStr">
        <is>
          <t>SKÅNE LÄN</t>
        </is>
      </c>
      <c r="G173" t="inlineStr">
        <is>
          <t>KLIPPAN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45474</v>
      </c>
      <c r="E174" s="1" t="n">
        <v>46256</v>
      </c>
      <c r="F174" t="inlineStr">
        <is>
          <t>SKÅNE LÄN</t>
        </is>
      </c>
      <c r="G174" t="inlineStr">
        <is>
          <t>KLIPPAN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44993</v>
      </c>
      <c r="E175" s="1" t="n">
        <v>46256</v>
      </c>
      <c r="F175" t="inlineStr">
        <is>
          <t>SKÅNE LÄN</t>
        </is>
      </c>
      <c r="G175" t="inlineStr">
        <is>
          <t>KLIPPAN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46216</v>
      </c>
      <c r="E176" s="1" t="n">
        <v>46256</v>
      </c>
      <c r="F176" t="inlineStr">
        <is>
          <t>SKÅNE LÄN</t>
        </is>
      </c>
      <c r="G176" t="inlineStr">
        <is>
          <t>KLIPPAN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46256</v>
      </c>
      <c r="F177" t="inlineStr">
        <is>
          <t>SKÅNE LÄN</t>
        </is>
      </c>
      <c r="G177" t="inlineStr">
        <is>
          <t>KLIPPAN</t>
        </is>
      </c>
      <c r="H177" t="inlineStr">
        <is>
          <t>Övriga Aktiebolag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46256</v>
      </c>
      <c r="F178" t="inlineStr">
        <is>
          <t>SKÅNE LÄN</t>
        </is>
      </c>
      <c r="G178" t="inlineStr">
        <is>
          <t>KLIPPAN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45077</v>
      </c>
      <c r="E179" s="1" t="n">
        <v>46256</v>
      </c>
      <c r="F179" t="inlineStr">
        <is>
          <t>SKÅNE LÄN</t>
        </is>
      </c>
      <c r="G179" t="inlineStr">
        <is>
          <t>KLIPPAN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46177</v>
      </c>
      <c r="E180" s="1" t="n">
        <v>46256</v>
      </c>
      <c r="F180" t="inlineStr">
        <is>
          <t>SKÅNE LÄN</t>
        </is>
      </c>
      <c r="G180" t="inlineStr">
        <is>
          <t>KLIPPAN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46256</v>
      </c>
      <c r="F181" t="inlineStr">
        <is>
          <t>SKÅNE LÄN</t>
        </is>
      </c>
      <c r="G181" t="inlineStr">
        <is>
          <t>KLIPPAN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46210</v>
      </c>
      <c r="E182" s="1" t="n">
        <v>46256</v>
      </c>
      <c r="F182" t="inlineStr">
        <is>
          <t>SKÅNE LÄN</t>
        </is>
      </c>
      <c r="G182" t="inlineStr">
        <is>
          <t>KLIPPAN</t>
        </is>
      </c>
      <c r="H182" t="inlineStr">
        <is>
          <t>Övriga Aktiebolag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53289-2025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45958</v>
      </c>
      <c r="E183" s="1" t="n">
        <v>46256</v>
      </c>
      <c r="F183" t="inlineStr">
        <is>
          <t>SKÅNE LÄN</t>
        </is>
      </c>
      <c r="G183" t="inlineStr">
        <is>
          <t>KLIPPAN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53290-2025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45958</v>
      </c>
      <c r="E184" s="1" t="n">
        <v>46256</v>
      </c>
      <c r="F184" t="inlineStr">
        <is>
          <t>SKÅNE LÄN</t>
        </is>
      </c>
      <c r="G184" t="inlineStr">
        <is>
          <t>KLIPPAN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9488-2026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46256</v>
      </c>
      <c r="F185" t="inlineStr">
        <is>
          <t>SKÅNE LÄN</t>
        </is>
      </c>
      <c r="G185" t="inlineStr">
        <is>
          <t>KLIPPAN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44855</v>
      </c>
      <c r="E186" s="1" t="n">
        <v>46256</v>
      </c>
      <c r="F186" t="inlineStr">
        <is>
          <t>SKÅNE LÄN</t>
        </is>
      </c>
      <c r="G186" t="inlineStr">
        <is>
          <t>KLIPPAN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46256</v>
      </c>
      <c r="F187" t="inlineStr">
        <is>
          <t>SKÅNE LÄN</t>
        </is>
      </c>
      <c r="G187" t="inlineStr">
        <is>
          <t>KLIPPAN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30514-2026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46210</v>
      </c>
      <c r="E188" s="1" t="n">
        <v>46256</v>
      </c>
      <c r="F188" t="inlineStr">
        <is>
          <t>SKÅNE LÄN</t>
        </is>
      </c>
      <c r="G188" t="inlineStr">
        <is>
          <t>KLIPPAN</t>
        </is>
      </c>
      <c r="H188" t="inlineStr">
        <is>
          <t>Övriga Aktiebolag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46256</v>
      </c>
      <c r="F189" t="inlineStr">
        <is>
          <t>SKÅNE LÄN</t>
        </is>
      </c>
      <c r="G189" t="inlineStr">
        <is>
          <t>KLIPPAN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45098</v>
      </c>
      <c r="E190" s="1" t="n">
        <v>46256</v>
      </c>
      <c r="F190" t="inlineStr">
        <is>
          <t>SKÅNE LÄN</t>
        </is>
      </c>
      <c r="G190" t="inlineStr">
        <is>
          <t>KLIPPAN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46256</v>
      </c>
      <c r="F191" t="inlineStr">
        <is>
          <t>SKÅNE LÄN</t>
        </is>
      </c>
      <c r="G191" t="inlineStr">
        <is>
          <t>KLIPPAN</t>
        </is>
      </c>
      <c r="H191" t="inlineStr">
        <is>
          <t>Kommuner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46256</v>
      </c>
      <c r="F192" t="inlineStr">
        <is>
          <t>SKÅNE LÄN</t>
        </is>
      </c>
      <c r="G192" t="inlineStr">
        <is>
          <t>KLIPPAN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31588-2026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46223</v>
      </c>
      <c r="E193" s="1" t="n">
        <v>46256</v>
      </c>
      <c r="F193" t="inlineStr">
        <is>
          <t>SKÅNE LÄN</t>
        </is>
      </c>
      <c r="G193" t="inlineStr">
        <is>
          <t>KLIPPAN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45579</v>
      </c>
      <c r="E194" s="1" t="n">
        <v>46256</v>
      </c>
      <c r="F194" t="inlineStr">
        <is>
          <t>SKÅNE LÄN</t>
        </is>
      </c>
      <c r="G194" t="inlineStr">
        <is>
          <t>KLIPPAN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45161</v>
      </c>
      <c r="E195" s="1" t="n">
        <v>46256</v>
      </c>
      <c r="F195" t="inlineStr">
        <is>
          <t>SKÅNE LÄN</t>
        </is>
      </c>
      <c r="G195" t="inlineStr">
        <is>
          <t>KLIPPAN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45161</v>
      </c>
      <c r="E196" s="1" t="n">
        <v>46256</v>
      </c>
      <c r="F196" t="inlineStr">
        <is>
          <t>SKÅNE LÄN</t>
        </is>
      </c>
      <c r="G196" t="inlineStr">
        <is>
          <t>KLIPPAN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45442</v>
      </c>
      <c r="E197" s="1" t="n">
        <v>46256</v>
      </c>
      <c r="F197" t="inlineStr">
        <is>
          <t>SKÅNE LÄN</t>
        </is>
      </c>
      <c r="G197" t="inlineStr">
        <is>
          <t>KLIPPAN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44936</v>
      </c>
      <c r="E198" s="1" t="n">
        <v>46256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45055</v>
      </c>
      <c r="E199" s="1" t="n">
        <v>46256</v>
      </c>
      <c r="F199" t="inlineStr">
        <is>
          <t>SKÅNE LÄN</t>
        </is>
      </c>
      <c r="G199" t="inlineStr">
        <is>
          <t>KLIPPAN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46256</v>
      </c>
      <c r="F200" t="inlineStr">
        <is>
          <t>SKÅNE LÄN</t>
        </is>
      </c>
      <c r="G200" t="inlineStr">
        <is>
          <t>KLIPPAN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52877-2022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44875</v>
      </c>
      <c r="E201" s="1" t="n">
        <v>46256</v>
      </c>
      <c r="F201" t="inlineStr">
        <is>
          <t>SKÅNE LÄN</t>
        </is>
      </c>
      <c r="G201" t="inlineStr">
        <is>
          <t>KLIPPAN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44992</v>
      </c>
      <c r="E202" s="1" t="n">
        <v>46256</v>
      </c>
      <c r="F202" t="inlineStr">
        <is>
          <t>SKÅNE LÄN</t>
        </is>
      </c>
      <c r="G202" t="inlineStr">
        <is>
          <t>KLIPPAN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64224-2023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46256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20002-2022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46256</v>
      </c>
      <c r="F204" t="inlineStr">
        <is>
          <t>SKÅNE LÄN</t>
        </is>
      </c>
      <c r="G204" t="inlineStr">
        <is>
          <t>KLIPPAN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45588</v>
      </c>
      <c r="E205" s="1" t="n">
        <v>46256</v>
      </c>
      <c r="F205" t="inlineStr">
        <is>
          <t>SKÅNE LÄN</t>
        </is>
      </c>
      <c r="G205" t="inlineStr">
        <is>
          <t>KLIPPAN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45212</v>
      </c>
      <c r="E206" s="1" t="n">
        <v>46256</v>
      </c>
      <c r="F206" t="inlineStr">
        <is>
          <t>SKÅNE LÄN</t>
        </is>
      </c>
      <c r="G206" t="inlineStr">
        <is>
          <t>KLIPPAN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68856-2021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46256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45199</v>
      </c>
      <c r="E208" s="1" t="n">
        <v>46256</v>
      </c>
      <c r="F208" t="inlineStr">
        <is>
          <t>SKÅNE LÄN</t>
        </is>
      </c>
      <c r="G208" t="inlineStr">
        <is>
          <t>KLIPPAN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44593</v>
      </c>
      <c r="E209" s="1" t="n">
        <v>46256</v>
      </c>
      <c r="F209" t="inlineStr">
        <is>
          <t>SKÅNE LÄN</t>
        </is>
      </c>
      <c r="G209" t="inlineStr">
        <is>
          <t>KLIPPAN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29338-2026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46202</v>
      </c>
      <c r="E210" s="1" t="n">
        <v>46256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46256</v>
      </c>
      <c r="F211" t="inlineStr">
        <is>
          <t>SKÅNE LÄN</t>
        </is>
      </c>
      <c r="G211" t="inlineStr">
        <is>
          <t>KLIPPAN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46253-2024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46256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9.300000000000001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46256</v>
      </c>
      <c r="F213" t="inlineStr">
        <is>
          <t>SKÅNE LÄN</t>
        </is>
      </c>
      <c r="G213" t="inlineStr">
        <is>
          <t>KLIPPAN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33181-2026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46245</v>
      </c>
      <c r="E214" s="1" t="n">
        <v>46256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45072</v>
      </c>
      <c r="E215" s="1" t="n">
        <v>46256</v>
      </c>
      <c r="F215" t="inlineStr">
        <is>
          <t>SKÅNE LÄN</t>
        </is>
      </c>
      <c r="G215" t="inlineStr">
        <is>
          <t>KLIPPAN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23978-2022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44722</v>
      </c>
      <c r="E216" s="1" t="n">
        <v>46256</v>
      </c>
      <c r="F216" t="inlineStr">
        <is>
          <t>SKÅNE LÄN</t>
        </is>
      </c>
      <c r="G216" t="inlineStr">
        <is>
          <t>KLIPPAN</t>
        </is>
      </c>
      <c r="I216" t="n">
        <v>9.699999999999999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45404</v>
      </c>
      <c r="E217" s="1" t="n">
        <v>46256</v>
      </c>
      <c r="F217" t="inlineStr">
        <is>
          <t>SKÅNE LÄN</t>
        </is>
      </c>
      <c r="G217" t="inlineStr">
        <is>
          <t>KLIPPAN</t>
        </is>
      </c>
      <c r="H217" t="inlineStr">
        <is>
          <t>Sveaskog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45163</v>
      </c>
      <c r="E218" s="1" t="n">
        <v>46256</v>
      </c>
      <c r="F218" t="inlineStr">
        <is>
          <t>SKÅNE LÄN</t>
        </is>
      </c>
      <c r="G218" t="inlineStr">
        <is>
          <t>KLIPPAN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55587-2021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44475</v>
      </c>
      <c r="E219" s="1" t="n">
        <v>46256</v>
      </c>
      <c r="F219" t="inlineStr">
        <is>
          <t>SKÅNE LÄN</t>
        </is>
      </c>
      <c r="G219" t="inlineStr">
        <is>
          <t>KLIPPAN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46206</v>
      </c>
      <c r="E220" s="1" t="n">
        <v>46256</v>
      </c>
      <c r="F220" t="inlineStr">
        <is>
          <t>SKÅNE LÄN</t>
        </is>
      </c>
      <c r="G220" t="inlineStr">
        <is>
          <t>KLIPPAN</t>
        </is>
      </c>
      <c r="H220" t="inlineStr">
        <is>
          <t>Övriga Aktiebolag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44722</v>
      </c>
      <c r="E221" s="1" t="n">
        <v>46256</v>
      </c>
      <c r="F221" t="inlineStr">
        <is>
          <t>SKÅNE LÄN</t>
        </is>
      </c>
      <c r="G221" t="inlineStr">
        <is>
          <t>KLIPPAN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46256</v>
      </c>
      <c r="F222" t="inlineStr">
        <is>
          <t>SKÅNE LÄN</t>
        </is>
      </c>
      <c r="G222" t="inlineStr">
        <is>
          <t>KLIPPAN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33783-2026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46251</v>
      </c>
      <c r="E223" s="1" t="n">
        <v>46256</v>
      </c>
      <c r="F223" t="inlineStr">
        <is>
          <t>SKÅNE LÄN</t>
        </is>
      </c>
      <c r="G223" t="inlineStr">
        <is>
          <t>KLIPPAN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46256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23341-2026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46162</v>
      </c>
      <c r="E225" s="1" t="n">
        <v>46256</v>
      </c>
      <c r="F225" t="inlineStr">
        <is>
          <t>SKÅNE LÄN</t>
        </is>
      </c>
      <c r="G225" t="inlineStr">
        <is>
          <t>KLIPPAN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28247-2023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45099</v>
      </c>
      <c r="E226" s="1" t="n">
        <v>46256</v>
      </c>
      <c r="F226" t="inlineStr">
        <is>
          <t>SKÅNE LÄN</t>
        </is>
      </c>
      <c r="G226" t="inlineStr">
        <is>
          <t>KLIPPAN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30422-2026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46209</v>
      </c>
      <c r="E227" s="1" t="n">
        <v>46256</v>
      </c>
      <c r="F227" t="inlineStr">
        <is>
          <t>SKÅNE LÄN</t>
        </is>
      </c>
      <c r="G227" t="inlineStr">
        <is>
          <t>KLIPPAN</t>
        </is>
      </c>
      <c r="H227" t="inlineStr">
        <is>
          <t>Övriga Aktiebolag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20082-2026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46256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45238</v>
      </c>
      <c r="E229" s="1" t="n">
        <v>46256</v>
      </c>
      <c r="F229" t="inlineStr">
        <is>
          <t>SKÅNE LÄN</t>
        </is>
      </c>
      <c r="G229" t="inlineStr">
        <is>
          <t>KLIPPAN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46256</v>
      </c>
      <c r="F230" t="inlineStr">
        <is>
          <t>SKÅNE LÄN</t>
        </is>
      </c>
      <c r="G230" t="inlineStr">
        <is>
          <t>KLIPPAN</t>
        </is>
      </c>
      <c r="H230" t="inlineStr">
        <is>
          <t>Övriga Aktiebolag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46168</v>
      </c>
      <c r="E231" s="1" t="n">
        <v>46256</v>
      </c>
      <c r="F231" t="inlineStr">
        <is>
          <t>SKÅNE LÄN</t>
        </is>
      </c>
      <c r="G231" t="inlineStr">
        <is>
          <t>KLIPPAN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34199-2026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46253</v>
      </c>
      <c r="E232" s="1" t="n">
        <v>46256</v>
      </c>
      <c r="F232" t="inlineStr">
        <is>
          <t>SKÅNE LÄN</t>
        </is>
      </c>
      <c r="G232" t="inlineStr">
        <is>
          <t>KLIPPAN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46256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46209</v>
      </c>
      <c r="E234" s="1" t="n">
        <v>46256</v>
      </c>
      <c r="F234" t="inlineStr">
        <is>
          <t>SKÅNE LÄN</t>
        </is>
      </c>
      <c r="G234" t="inlineStr">
        <is>
          <t>KLIPPAN</t>
        </is>
      </c>
      <c r="H234" t="inlineStr">
        <is>
          <t>Sveaskog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45069</v>
      </c>
      <c r="E235" s="1" t="n">
        <v>46256</v>
      </c>
      <c r="F235" t="inlineStr">
        <is>
          <t>SKÅNE LÄN</t>
        </is>
      </c>
      <c r="G235" t="inlineStr">
        <is>
          <t>KLIPPAN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46256</v>
      </c>
      <c r="F236" t="inlineStr">
        <is>
          <t>SKÅNE LÄN</t>
        </is>
      </c>
      <c r="G236" t="inlineStr">
        <is>
          <t>KLIPPAN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20012-2022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44697</v>
      </c>
      <c r="E237" s="1" t="n">
        <v>46256</v>
      </c>
      <c r="F237" t="inlineStr">
        <is>
          <t>SKÅNE LÄN</t>
        </is>
      </c>
      <c r="G237" t="inlineStr">
        <is>
          <t>KLIPPAN</t>
        </is>
      </c>
      <c r="I237" t="n">
        <v>17.2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46256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30356-2026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46209</v>
      </c>
      <c r="E239" s="1" t="n">
        <v>46256</v>
      </c>
      <c r="F239" t="inlineStr">
        <is>
          <t>SKÅNE LÄN</t>
        </is>
      </c>
      <c r="G239" t="inlineStr">
        <is>
          <t>KLIPPAN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16418-2025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45751</v>
      </c>
      <c r="E240" s="1" t="n">
        <v>46256</v>
      </c>
      <c r="F240" t="inlineStr">
        <is>
          <t>SKÅNE LÄN</t>
        </is>
      </c>
      <c r="G240" t="inlineStr">
        <is>
          <t>KLIPPAN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63720-2023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46256</v>
      </c>
      <c r="F241" t="inlineStr">
        <is>
          <t>SKÅNE LÄN</t>
        </is>
      </c>
      <c r="G241" t="inlineStr">
        <is>
          <t>KLIPPAN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45393</v>
      </c>
      <c r="E242" s="1" t="n">
        <v>46256</v>
      </c>
      <c r="F242" t="inlineStr">
        <is>
          <t>SKÅNE LÄN</t>
        </is>
      </c>
      <c r="G242" t="inlineStr">
        <is>
          <t>KLIPPAN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46256</v>
      </c>
      <c r="F243" t="inlineStr">
        <is>
          <t>SKÅNE LÄN</t>
        </is>
      </c>
      <c r="G243" t="inlineStr">
        <is>
          <t>KLIPPAN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20629-2026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46256</v>
      </c>
      <c r="F244" t="inlineStr">
        <is>
          <t>SKÅNE LÄN</t>
        </is>
      </c>
      <c r="G244" t="inlineStr">
        <is>
          <t>KLIPPAN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47869-2022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44855</v>
      </c>
      <c r="E245" s="1" t="n">
        <v>46256</v>
      </c>
      <c r="F245" t="inlineStr">
        <is>
          <t>SKÅNE LÄN</t>
        </is>
      </c>
      <c r="G245" t="inlineStr">
        <is>
          <t>KLIPPAN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45341</v>
      </c>
      <c r="E246" s="1" t="n">
        <v>46256</v>
      </c>
      <c r="F246" t="inlineStr">
        <is>
          <t>SKÅNE LÄN</t>
        </is>
      </c>
      <c r="G246" t="inlineStr">
        <is>
          <t>KLIPPAN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24647-2023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45084</v>
      </c>
      <c r="E247" s="1" t="n">
        <v>46256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11.6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13420-2023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45005</v>
      </c>
      <c r="E248" s="1" t="n">
        <v>46256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46256</v>
      </c>
      <c r="F249" t="inlineStr">
        <is>
          <t>SKÅNE LÄN</t>
        </is>
      </c>
      <c r="G249" t="inlineStr">
        <is>
          <t>KLIPPAN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42284-2024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46256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21602-2026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46149</v>
      </c>
      <c r="E251" s="1" t="n">
        <v>46256</v>
      </c>
      <c r="F251" t="inlineStr">
        <is>
          <t>SKÅNE LÄN</t>
        </is>
      </c>
      <c r="G251" t="inlineStr">
        <is>
          <t>KLIPPAN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46149</v>
      </c>
      <c r="E252" s="1" t="n">
        <v>46256</v>
      </c>
      <c r="F252" t="inlineStr">
        <is>
          <t>SKÅNE LÄN</t>
        </is>
      </c>
      <c r="G252" t="inlineStr">
        <is>
          <t>KLIPPAN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45320</v>
      </c>
      <c r="E253" s="1" t="n">
        <v>46256</v>
      </c>
      <c r="F253" t="inlineStr">
        <is>
          <t>SKÅNE LÄN</t>
        </is>
      </c>
      <c r="G253" t="inlineStr">
        <is>
          <t>KLIPPAN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21608-2026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46149</v>
      </c>
      <c r="E254" s="1" t="n">
        <v>46256</v>
      </c>
      <c r="F254" t="inlineStr">
        <is>
          <t>SKÅNE LÄN</t>
        </is>
      </c>
      <c r="G254" t="inlineStr">
        <is>
          <t>KLIPPAN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21599-2026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46149</v>
      </c>
      <c r="E255" s="1" t="n">
        <v>46256</v>
      </c>
      <c r="F255" t="inlineStr">
        <is>
          <t>SKÅNE LÄN</t>
        </is>
      </c>
      <c r="G255" t="inlineStr">
        <is>
          <t>KLIPPAN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21607-2026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46149</v>
      </c>
      <c r="E256" s="1" t="n">
        <v>46256</v>
      </c>
      <c r="F256" t="inlineStr">
        <is>
          <t>SKÅNE LÄN</t>
        </is>
      </c>
      <c r="G256" t="inlineStr">
        <is>
          <t>KLIPPAN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21778-2026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46150</v>
      </c>
      <c r="E257" s="1" t="n">
        <v>46256</v>
      </c>
      <c r="F257" t="inlineStr">
        <is>
          <t>SKÅNE LÄN</t>
        </is>
      </c>
      <c r="G257" t="inlineStr">
        <is>
          <t>KLIPPAN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46256</v>
      </c>
      <c r="F258" t="inlineStr">
        <is>
          <t>SKÅNE LÄN</t>
        </is>
      </c>
      <c r="G258" t="inlineStr">
        <is>
          <t>KLIPPAN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40173-2024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46256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46256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46162</v>
      </c>
      <c r="E261" s="1" t="n">
        <v>46256</v>
      </c>
      <c r="F261" t="inlineStr">
        <is>
          <t>SKÅNE LÄN</t>
        </is>
      </c>
      <c r="G261" t="inlineStr">
        <is>
          <t>KLIPPAN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55613-2022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46256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45537</v>
      </c>
      <c r="E263" s="1" t="n">
        <v>46256</v>
      </c>
      <c r="F263" t="inlineStr">
        <is>
          <t>SKÅNE LÄN</t>
        </is>
      </c>
      <c r="G263" t="inlineStr">
        <is>
          <t>KLIPPAN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3541-2023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45209</v>
      </c>
      <c r="E264" s="1" t="n">
        <v>46256</v>
      </c>
      <c r="F264" t="inlineStr">
        <is>
          <t>SKÅNE LÄN</t>
        </is>
      </c>
      <c r="G264" t="inlineStr">
        <is>
          <t>KLIPPAN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5970-2022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44858</v>
      </c>
      <c r="E265" s="1" t="n">
        <v>46256</v>
      </c>
      <c r="F265" t="inlineStr">
        <is>
          <t>SKÅNE LÄN</t>
        </is>
      </c>
      <c r="G265" t="inlineStr">
        <is>
          <t>KLIPPAN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116-2023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44936</v>
      </c>
      <c r="E266" s="1" t="n">
        <v>46256</v>
      </c>
      <c r="F266" t="inlineStr">
        <is>
          <t>SKÅNE LÄN</t>
        </is>
      </c>
      <c r="G266" t="inlineStr">
        <is>
          <t>KLIPPAN</t>
        </is>
      </c>
      <c r="I266" t="n">
        <v>51.8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525-2024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45348</v>
      </c>
      <c r="E267" s="1" t="n">
        <v>46256</v>
      </c>
      <c r="F267" t="inlineStr">
        <is>
          <t>SKÅNE LÄN</t>
        </is>
      </c>
      <c r="G267" t="inlineStr">
        <is>
          <t>KLIPPAN</t>
        </is>
      </c>
      <c r="I267" t="n">
        <v>22.3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1710-2024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45434</v>
      </c>
      <c r="E268" s="1" t="n">
        <v>46256</v>
      </c>
      <c r="F268" t="inlineStr">
        <is>
          <t>SKÅNE LÄN</t>
        </is>
      </c>
      <c r="G268" t="inlineStr">
        <is>
          <t>KLIPPAN</t>
        </is>
      </c>
      <c r="H268" t="inlineStr">
        <is>
          <t>Övriga Aktiebolag</t>
        </is>
      </c>
      <c r="I268" t="n">
        <v>13.4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1713-2024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46256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3796-2024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45558</v>
      </c>
      <c r="E270" s="1" t="n">
        <v>46256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3804-2024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46256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704-2022</t>
        </is>
      </c>
      <c r="B272" t="inlineStr">
        <is>
          <t>samrådsanmälan</t>
        </is>
      </c>
      <c r="C272" t="inlineStr">
        <is>
          <t>Skogsbilväg</t>
        </is>
      </c>
      <c r="D272" s="1" t="n">
        <v>44599</v>
      </c>
      <c r="E272" s="1" t="n">
        <v>46256</v>
      </c>
      <c r="F272" t="inlineStr">
        <is>
          <t>SKÅNE LÄN</t>
        </is>
      </c>
      <c r="G272" t="inlineStr">
        <is>
          <t>KLIPPAN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2678-2022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44701</v>
      </c>
      <c r="E273" s="1" t="n">
        <v>46256</v>
      </c>
      <c r="F273" t="inlineStr">
        <is>
          <t>SKÅNE LÄN</t>
        </is>
      </c>
      <c r="G273" t="inlineStr">
        <is>
          <t>KLIPPAN</t>
        </is>
      </c>
      <c r="I273" t="n">
        <v>15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1716-2024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46256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29.5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110-2023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44936</v>
      </c>
      <c r="E275" s="1" t="n">
        <v>46256</v>
      </c>
      <c r="F275" t="inlineStr">
        <is>
          <t>SKÅNE LÄN</t>
        </is>
      </c>
      <c r="G275" t="inlineStr">
        <is>
          <t>KLIPPAN</t>
        </is>
      </c>
      <c r="I275" t="n">
        <v>26.9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4865-2022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44805</v>
      </c>
      <c r="E276" s="1" t="n">
        <v>46256</v>
      </c>
      <c r="F276" t="inlineStr">
        <is>
          <t>SKÅNE LÄN</t>
        </is>
      </c>
      <c r="G276" t="inlineStr">
        <is>
          <t>KLIPPAN</t>
        </is>
      </c>
      <c r="I276" t="n">
        <v>29.1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3792-2024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46256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2690-2022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44701</v>
      </c>
      <c r="E278" s="1" t="n">
        <v>46256</v>
      </c>
      <c r="F278" t="inlineStr">
        <is>
          <t>SKÅNE LÄN</t>
        </is>
      </c>
      <c r="G278" t="inlineStr">
        <is>
          <t>KLIPPAN</t>
        </is>
      </c>
      <c r="I278" t="n">
        <v>16.3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46256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46256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46256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46256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46256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46256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46256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46256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46256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46256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46256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46256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2026-08-22T01:49:40Z</dcterms:created>
  <dcterms:modified xmlns:dcterms="http://purl.org/dc/terms/" xmlns:xsi="http://www.w3.org/2001/XMLSchema-instance" xsi:type="dcterms:W3CDTF">2026-08-22T01:49:40Z</dcterms:modified>
</cp:coreProperties>
</file>