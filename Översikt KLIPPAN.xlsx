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46316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46316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46316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46316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46316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37966-2024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46316</v>
      </c>
      <c r="F9" t="inlineStr">
        <is>
          <t>SKÅNE LÄN</t>
        </is>
      </c>
      <c r="G9" t="inlineStr">
        <is>
          <t>KLIPPAN</t>
        </is>
      </c>
      <c r="I9" t="n">
        <v>2.5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Grönsiska
Röd glada
Större vattensalamander
Trana
Vanlig padda</t>
        </is>
      </c>
      <c r="W9">
        <f>HYPERLINK("https://klasma.github.io/Logging_1276/artfynd/A 37966-2024 artfynd.xlsx", "A 37966-2024")</f>
        <v/>
      </c>
      <c r="X9">
        <f>HYPERLINK("https://klasma.github.io/Logging_1276/kartor/A 37966-2024 karta.png", "A 37966-2024")</f>
        <v/>
      </c>
      <c r="Y9">
        <f>HYPERLINK("https://klasma.github.io/Logging_1276/kartor_geotiff/A 37966-2024 georefererad karta.tif", "A 37966-2024")</f>
        <v/>
      </c>
      <c r="AA9">
        <f>HYPERLINK("https://klasma.github.io/Logging_1276/klagomål/A 37966-2024 FSC-klagomål.docx", "A 37966-2024")</f>
        <v/>
      </c>
      <c r="AB9">
        <f>HYPERLINK("https://klasma.github.io/Logging_1276/klagomålsmail/A 37966-2024 FSC-klagomål mail.docx", "A 37966-2024")</f>
        <v/>
      </c>
      <c r="AC9">
        <f>HYPERLINK("https://klasma.github.io/Logging_1276/tillsyn/A 37966-2024 tillsynsbegäran.docx", "A 37966-2024")</f>
        <v/>
      </c>
      <c r="AD9">
        <f>HYPERLINK("https://klasma.github.io/Logging_1276/tillsynsmail/A 37966-2024 tillsynsbegäran mail.docx", "A 37966-2024")</f>
        <v/>
      </c>
      <c r="AE9">
        <f>HYPERLINK("https://klasma.github.io/Logging_1276/fåglar/A 37966-2024 prioriterade fågelarter.docx", "A 37966-2024")</f>
        <v/>
      </c>
    </row>
    <row r="10" ht="15" customHeight="1">
      <c r="A10" t="inlineStr">
        <is>
          <t>A 15788-2026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46316</v>
      </c>
      <c r="F10" t="inlineStr">
        <is>
          <t>SKÅNE LÄN</t>
        </is>
      </c>
      <c r="G10" t="inlineStr">
        <is>
          <t>KLIPPAN</t>
        </is>
      </c>
      <c r="I10" t="n">
        <v>3.9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Entita
Gulsparv
Rödvingetrast
Spillkråka
Skogsduva</t>
        </is>
      </c>
      <c r="W10">
        <f>HYPERLINK("https://klasma.github.io/Logging_1276/artfynd/A 15788-2026 artfynd.xlsx", "A 15788-2026")</f>
        <v/>
      </c>
      <c r="X10">
        <f>HYPERLINK("https://klasma.github.io/Logging_1276/kartor/A 15788-2026 karta.png", "A 15788-2026")</f>
        <v/>
      </c>
      <c r="Y10">
        <f>HYPERLINK("https://klasma.github.io/Logging_1276/kartor_geotiff/A 15788-2026 georefererad karta.tif", "A 15788-2026")</f>
        <v/>
      </c>
      <c r="AA10">
        <f>HYPERLINK("https://klasma.github.io/Logging_1276/klagomål/A 15788-2026 FSC-klagomål.docx", "A 15788-2026")</f>
        <v/>
      </c>
      <c r="AB10">
        <f>HYPERLINK("https://klasma.github.io/Logging_1276/klagomålsmail/A 15788-2026 FSC-klagomål mail.docx", "A 15788-2026")</f>
        <v/>
      </c>
      <c r="AC10">
        <f>HYPERLINK("https://klasma.github.io/Logging_1276/tillsyn/A 15788-2026 tillsynsbegäran.docx", "A 15788-2026")</f>
        <v/>
      </c>
      <c r="AD10">
        <f>HYPERLINK("https://klasma.github.io/Logging_1276/tillsynsmail/A 15788-2026 tillsynsbegäran mail.docx", "A 15788-2026")</f>
        <v/>
      </c>
      <c r="AE10">
        <f>HYPERLINK("https://klasma.github.io/Logging_1276/fåglar/A 15788-2026 prioriterade fågelarter.docx", "A 15788-2026")</f>
        <v/>
      </c>
    </row>
    <row r="11" ht="15" customHeight="1">
      <c r="A11" t="inlineStr">
        <is>
          <t>A 37092-2026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46316</v>
      </c>
      <c r="F11" t="inlineStr">
        <is>
          <t>SKÅNE LÄN</t>
        </is>
      </c>
      <c r="G11" t="inlineStr">
        <is>
          <t>KLIPPAN</t>
        </is>
      </c>
      <c r="I11" t="n">
        <v>14.4</v>
      </c>
      <c r="J11" t="n">
        <v>1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6</v>
      </c>
      <c r="U11" t="n">
        <v>6</v>
      </c>
      <c r="V11" s="2" t="inlineStr">
        <is>
          <t>Vedlavklubba
Entita
Stor sotdyna
Sydlig sotticka
Gulnål</t>
        </is>
      </c>
      <c r="W11">
        <f>HYPERLINK("https://klasma.github.io/Logging_1276/artfynd/A 37092-2026 artfynd.xlsx", "A 37092-2026")</f>
        <v/>
      </c>
      <c r="X11">
        <f>HYPERLINK("https://klasma.github.io/Logging_1276/kartor/A 37092-2026 karta.png", "A 37092-2026")</f>
        <v/>
      </c>
      <c r="Y11">
        <f>HYPERLINK("https://klasma.github.io/Logging_1276/kartor_geotiff/A 37092-2026 georefererad karta.tif", "A 37092-2026")</f>
        <v/>
      </c>
      <c r="AA11">
        <f>HYPERLINK("https://klasma.github.io/Logging_1276/klagomål/A 37092-2026 FSC-klagomål.docx", "A 37092-2026")</f>
        <v/>
      </c>
      <c r="AB11">
        <f>HYPERLINK("https://klasma.github.io/Logging_1276/klagomålsmail/A 37092-2026 FSC-klagomål mail.docx", "A 37092-2026")</f>
        <v/>
      </c>
      <c r="AC11">
        <f>HYPERLINK("https://klasma.github.io/Logging_1276/tillsyn/A 37092-2026 tillsynsbegäran.docx", "A 37092-2026")</f>
        <v/>
      </c>
      <c r="AD11">
        <f>HYPERLINK("https://klasma.github.io/Logging_1276/tillsynsmail/A 37092-2026 tillsynsbegäran mail.docx", "A 37092-2026")</f>
        <v/>
      </c>
      <c r="AE11">
        <f>HYPERLINK("https://klasma.github.io/Logging_1276/fåglar/A 37092-2026 prioriterade fågelarter.docx", "A 37092-2026")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46316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46316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46256-2024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45581</v>
      </c>
      <c r="E14" s="1" t="n">
        <v>46316</v>
      </c>
      <c r="F14" t="inlineStr">
        <is>
          <t>SKÅNE LÄN</t>
        </is>
      </c>
      <c r="G14" t="inlineStr">
        <is>
          <t>KLIPPAN</t>
        </is>
      </c>
      <c r="H14" t="inlineStr">
        <is>
          <t>Sveaskog</t>
        </is>
      </c>
      <c r="I14" t="n">
        <v>3.1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Rostfläck
Västlig hakmossa
Spillkråka</t>
        </is>
      </c>
      <c r="W14">
        <f>HYPERLINK("https://klasma.github.io/Logging_1276/artfynd/A 46256-2024 artfynd.xlsx", "A 46256-2024")</f>
        <v/>
      </c>
      <c r="X14">
        <f>HYPERLINK("https://klasma.github.io/Logging_1276/kartor/A 46256-2024 karta.png", "A 46256-2024")</f>
        <v/>
      </c>
      <c r="Y14">
        <f>HYPERLINK("https://klasma.github.io/Logging_1276/kartor_geotiff/A 46256-2024 georefererad karta.tif", "A 46256-2024")</f>
        <v/>
      </c>
      <c r="AA14">
        <f>HYPERLINK("https://klasma.github.io/Logging_1276/klagomål/A 46256-2024 FSC-klagomål.docx", "A 46256-2024")</f>
        <v/>
      </c>
      <c r="AB14">
        <f>HYPERLINK("https://klasma.github.io/Logging_1276/klagomålsmail/A 46256-2024 FSC-klagomål mail.docx", "A 46256-2024")</f>
        <v/>
      </c>
      <c r="AC14">
        <f>HYPERLINK("https://klasma.github.io/Logging_1276/tillsyn/A 46256-2024 tillsynsbegäran.docx", "A 46256-2024")</f>
        <v/>
      </c>
      <c r="AD14">
        <f>HYPERLINK("https://klasma.github.io/Logging_1276/tillsynsmail/A 46256-2024 tillsynsbegäran mail.docx", "A 46256-2024")</f>
        <v/>
      </c>
      <c r="AE14">
        <f>HYPERLINK("https://klasma.github.io/Logging_1276/fåglar/A 46256-2024 prioriterade fågelarter.docx", "A 46256-2024")</f>
        <v/>
      </c>
    </row>
    <row r="15" ht="15" customHeight="1">
      <c r="A15" t="inlineStr">
        <is>
          <t>A 50089-2023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45208</v>
      </c>
      <c r="E15" s="1" t="n">
        <v>46316</v>
      </c>
      <c r="F15" t="inlineStr">
        <is>
          <t>SKÅNE LÄN</t>
        </is>
      </c>
      <c r="G15" t="inlineStr">
        <is>
          <t>KLIPPAN</t>
        </is>
      </c>
      <c r="I15" t="n">
        <v>13.6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Grönsiska
Kungsfågel</t>
        </is>
      </c>
      <c r="W15">
        <f>HYPERLINK("https://klasma.github.io/Logging_1276/artfynd/A 50089-2023 artfynd.xlsx", "A 50089-2023")</f>
        <v/>
      </c>
      <c r="X15">
        <f>HYPERLINK("https://klasma.github.io/Logging_1276/kartor/A 50089-2023 karta.png", "A 50089-2023")</f>
        <v/>
      </c>
      <c r="Y15">
        <f>HYPERLINK("https://klasma.github.io/Logging_1276/kartor_geotiff/A 50089-2023 georefererad karta.tif", "A 50089-2023")</f>
        <v/>
      </c>
      <c r="AA15">
        <f>HYPERLINK("https://klasma.github.io/Logging_1276/klagomål/A 50089-2023 FSC-klagomål.docx", "A 50089-2023")</f>
        <v/>
      </c>
      <c r="AB15">
        <f>HYPERLINK("https://klasma.github.io/Logging_1276/klagomålsmail/A 50089-2023 FSC-klagomål mail.docx", "A 50089-2023")</f>
        <v/>
      </c>
      <c r="AC15">
        <f>HYPERLINK("https://klasma.github.io/Logging_1276/tillsyn/A 50089-2023 tillsynsbegäran.docx", "A 50089-2023")</f>
        <v/>
      </c>
      <c r="AD15">
        <f>HYPERLINK("https://klasma.github.io/Logging_1276/tillsynsmail/A 50089-2023 tillsynsbegäran mail.docx", "A 50089-2023")</f>
        <v/>
      </c>
      <c r="AE15">
        <f>HYPERLINK("https://klasma.github.io/Logging_1276/fåglar/A 50089-2023 prioriterade fågelarter.docx", "A 50089-2023")</f>
        <v/>
      </c>
    </row>
    <row r="16" ht="15" customHeight="1">
      <c r="A16" t="inlineStr">
        <is>
          <t>A 2839-2026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46316</v>
      </c>
      <c r="F16" t="inlineStr">
        <is>
          <t>SKÅNE LÄN</t>
        </is>
      </c>
      <c r="G16" t="inlineStr">
        <is>
          <t>KLIPPAN</t>
        </is>
      </c>
      <c r="I16" t="n">
        <v>2.4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Entita
Mindre hackspett
Stjärtmes</t>
        </is>
      </c>
      <c r="W16">
        <f>HYPERLINK("https://klasma.github.io/Logging_1276/artfynd/A 2839-2026 artfynd.xlsx", "A 2839-2026")</f>
        <v/>
      </c>
      <c r="X16">
        <f>HYPERLINK("https://klasma.github.io/Logging_1276/kartor/A 2839-2026 karta.png", "A 2839-2026")</f>
        <v/>
      </c>
      <c r="Y16">
        <f>HYPERLINK("https://klasma.github.io/Logging_1276/kartor_geotiff/A 2839-2026 georefererad karta.tif", "A 2839-2026")</f>
        <v/>
      </c>
      <c r="AA16">
        <f>HYPERLINK("https://klasma.github.io/Logging_1276/klagomål/A 2839-2026 FSC-klagomål.docx", "A 2839-2026")</f>
        <v/>
      </c>
      <c r="AB16">
        <f>HYPERLINK("https://klasma.github.io/Logging_1276/klagomålsmail/A 2839-2026 FSC-klagomål mail.docx", "A 2839-2026")</f>
        <v/>
      </c>
      <c r="AC16">
        <f>HYPERLINK("https://klasma.github.io/Logging_1276/tillsyn/A 2839-2026 tillsynsbegäran.docx", "A 2839-2026")</f>
        <v/>
      </c>
      <c r="AD16">
        <f>HYPERLINK("https://klasma.github.io/Logging_1276/tillsynsmail/A 2839-2026 tillsynsbegäran mail.docx", "A 2839-2026")</f>
        <v/>
      </c>
      <c r="AE16">
        <f>HYPERLINK("https://klasma.github.io/Logging_1276/fåglar/A 2839-2026 prioriterade fågelarter.docx", "A 2839-2026")</f>
        <v/>
      </c>
    </row>
    <row r="17" ht="15" customHeight="1">
      <c r="A17" t="inlineStr">
        <is>
          <t>A 45242-2025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46316</v>
      </c>
      <c r="F17" t="inlineStr">
        <is>
          <t>SKÅNE LÄN</t>
        </is>
      </c>
      <c r="G17" t="inlineStr">
        <is>
          <t>KLIPPAN</t>
        </is>
      </c>
      <c r="I17" t="n">
        <v>2.2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Blåmossa
Spillkråka
Kungsfågel</t>
        </is>
      </c>
      <c r="W17">
        <f>HYPERLINK("https://klasma.github.io/Logging_1276/artfynd/A 45242-2025 artfynd.xlsx", "A 45242-2025")</f>
        <v/>
      </c>
      <c r="X17">
        <f>HYPERLINK("https://klasma.github.io/Logging_1276/kartor/A 45242-2025 karta.png", "A 45242-2025")</f>
        <v/>
      </c>
      <c r="Y17">
        <f>HYPERLINK("https://klasma.github.io/Logging_1276/kartor_geotiff/A 45242-2025 georefererad karta.tif", "A 45242-2025")</f>
        <v/>
      </c>
      <c r="AA17">
        <f>HYPERLINK("https://klasma.github.io/Logging_1276/klagomål/A 45242-2025 FSC-klagomål.docx", "A 45242-2025")</f>
        <v/>
      </c>
      <c r="AB17">
        <f>HYPERLINK("https://klasma.github.io/Logging_1276/klagomålsmail/A 45242-2025 FSC-klagomål mail.docx", "A 45242-2025")</f>
        <v/>
      </c>
      <c r="AC17">
        <f>HYPERLINK("https://klasma.github.io/Logging_1276/tillsyn/A 45242-2025 tillsynsbegäran.docx", "A 45242-2025")</f>
        <v/>
      </c>
      <c r="AD17">
        <f>HYPERLINK("https://klasma.github.io/Logging_1276/tillsynsmail/A 45242-2025 tillsynsbegäran mail.docx", "A 45242-2025")</f>
        <v/>
      </c>
      <c r="AE17">
        <f>HYPERLINK("https://klasma.github.io/Logging_1276/fåglar/A 45242-2025 prioriterade fågelarter.docx", "A 45242-2025")</f>
        <v/>
      </c>
    </row>
    <row r="18" ht="15" customHeight="1">
      <c r="A18" t="inlineStr">
        <is>
          <t>A 39820-2026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46289</v>
      </c>
      <c r="E18" s="1" t="n">
        <v>46316</v>
      </c>
      <c r="F18" t="inlineStr">
        <is>
          <t>SKÅNE LÄN</t>
        </is>
      </c>
      <c r="G18" t="inlineStr">
        <is>
          <t>KLIPPAN</t>
        </is>
      </c>
      <c r="I18" t="n">
        <v>13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Entita
Skogsödla
Vanlig groda</t>
        </is>
      </c>
      <c r="W18">
        <f>HYPERLINK("https://klasma.github.io/Logging_1276/artfynd/A 39820-2026 artfynd.xlsx", "A 39820-2026")</f>
        <v/>
      </c>
      <c r="X18">
        <f>HYPERLINK("https://klasma.github.io/Logging_1276/kartor/A 39820-2026 karta.png", "A 39820-2026")</f>
        <v/>
      </c>
      <c r="Y18">
        <f>HYPERLINK("https://klasma.github.io/Logging_1276/kartor_geotiff/A 39820-2026 georefererad karta.tif", "A 39820-2026")</f>
        <v/>
      </c>
      <c r="AA18">
        <f>HYPERLINK("https://klasma.github.io/Logging_1276/klagomål/A 39820-2026 FSC-klagomål.docx", "A 39820-2026")</f>
        <v/>
      </c>
      <c r="AB18">
        <f>HYPERLINK("https://klasma.github.io/Logging_1276/klagomålsmail/A 39820-2026 FSC-klagomål mail.docx", "A 39820-2026")</f>
        <v/>
      </c>
      <c r="AC18">
        <f>HYPERLINK("https://klasma.github.io/Logging_1276/tillsyn/A 39820-2026 tillsynsbegäran.docx", "A 39820-2026")</f>
        <v/>
      </c>
      <c r="AD18">
        <f>HYPERLINK("https://klasma.github.io/Logging_1276/tillsynsmail/A 39820-2026 tillsynsbegäran mail.docx", "A 39820-2026")</f>
        <v/>
      </c>
      <c r="AE18">
        <f>HYPERLINK("https://klasma.github.io/Logging_1276/fåglar/A 39820-2026 prioriterade fågelarter.docx", "A 39820-2026")</f>
        <v/>
      </c>
    </row>
    <row r="19" ht="15" customHeight="1">
      <c r="A19" t="inlineStr">
        <is>
          <t>A 53878-2022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44880</v>
      </c>
      <c r="E19" s="1" t="n">
        <v>46316</v>
      </c>
      <c r="F19" t="inlineStr">
        <is>
          <t>SKÅNE LÄN</t>
        </is>
      </c>
      <c r="G19" t="inlineStr">
        <is>
          <t>KLIPPAN</t>
        </is>
      </c>
      <c r="I19" t="n">
        <v>8.300000000000001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Entita
Gulsparv
Grönvit nattviol</t>
        </is>
      </c>
      <c r="W19">
        <f>HYPERLINK("https://klasma.github.io/Logging_1276/artfynd/A 53878-2022 artfynd.xlsx", "A 53878-2022")</f>
        <v/>
      </c>
      <c r="X19">
        <f>HYPERLINK("https://klasma.github.io/Logging_1276/kartor/A 53878-2022 karta.png", "A 53878-2022")</f>
        <v/>
      </c>
      <c r="Y19">
        <f>HYPERLINK("https://klasma.github.io/Logging_1276/kartor_geotiff/A 53878-2022 georefererad karta.tif", "A 53878-2022")</f>
        <v/>
      </c>
      <c r="AA19">
        <f>HYPERLINK("https://klasma.github.io/Logging_1276/klagomål/A 53878-2022 FSC-klagomål.docx", "A 53878-2022")</f>
        <v/>
      </c>
      <c r="AB19">
        <f>HYPERLINK("https://klasma.github.io/Logging_1276/klagomålsmail/A 53878-2022 FSC-klagomål mail.docx", "A 53878-2022")</f>
        <v/>
      </c>
      <c r="AC19">
        <f>HYPERLINK("https://klasma.github.io/Logging_1276/tillsyn/A 53878-2022 tillsynsbegäran.docx", "A 53878-2022")</f>
        <v/>
      </c>
      <c r="AD19">
        <f>HYPERLINK("https://klasma.github.io/Logging_1276/tillsynsmail/A 53878-2022 tillsynsbegäran mail.docx", "A 53878-2022")</f>
        <v/>
      </c>
      <c r="AE19">
        <f>HYPERLINK("https://klasma.github.io/Logging_1276/fåglar/A 53878-2022 prioriterade fågelarter.docx", "A 53878-2022")</f>
        <v/>
      </c>
    </row>
    <row r="20" ht="15" customHeight="1">
      <c r="A20" t="inlineStr">
        <is>
          <t>A 31525-2026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46223</v>
      </c>
      <c r="E20" s="1" t="n">
        <v>46316</v>
      </c>
      <c r="F20" t="inlineStr">
        <is>
          <t>SKÅNE LÄN</t>
        </is>
      </c>
      <c r="G20" t="inlineStr">
        <is>
          <t>KLIPPAN</t>
        </is>
      </c>
      <c r="I20" t="n">
        <v>0.4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Entita
Kruskantarell
Stjärtmes</t>
        </is>
      </c>
      <c r="W20">
        <f>HYPERLINK("https://klasma.github.io/Logging_1276/artfynd/A 31525-2026 artfynd.xlsx", "A 31525-2026")</f>
        <v/>
      </c>
      <c r="X20">
        <f>HYPERLINK("https://klasma.github.io/Logging_1276/kartor/A 31525-2026 karta.png", "A 31525-2026")</f>
        <v/>
      </c>
      <c r="Y20">
        <f>HYPERLINK("https://klasma.github.io/Logging_1276/kartor_geotiff/A 31525-2026 georefererad karta.tif", "A 31525-2026")</f>
        <v/>
      </c>
      <c r="AA20">
        <f>HYPERLINK("https://klasma.github.io/Logging_1276/klagomål/A 31525-2026 FSC-klagomål.docx", "A 31525-2026")</f>
        <v/>
      </c>
      <c r="AB20">
        <f>HYPERLINK("https://klasma.github.io/Logging_1276/klagomålsmail/A 31525-2026 FSC-klagomål mail.docx", "A 31525-2026")</f>
        <v/>
      </c>
      <c r="AC20">
        <f>HYPERLINK("https://klasma.github.io/Logging_1276/tillsyn/A 31525-2026 tillsynsbegäran.docx", "A 31525-2026")</f>
        <v/>
      </c>
      <c r="AD20">
        <f>HYPERLINK("https://klasma.github.io/Logging_1276/tillsynsmail/A 31525-2026 tillsynsbegäran mail.docx", "A 31525-2026")</f>
        <v/>
      </c>
      <c r="AE20">
        <f>HYPERLINK("https://klasma.github.io/Logging_1276/fåglar/A 31525-2026 prioriterade fågelarter.docx", "A 31525-2026")</f>
        <v/>
      </c>
    </row>
    <row r="21" ht="15" customHeight="1">
      <c r="A21" t="inlineStr">
        <is>
          <t>A 54644-2023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45235</v>
      </c>
      <c r="E21" s="1" t="n">
        <v>46316</v>
      </c>
      <c r="F21" t="inlineStr">
        <is>
          <t>SKÅNE LÄN</t>
        </is>
      </c>
      <c r="G21" t="inlineStr">
        <is>
          <t>KLIPPAN</t>
        </is>
      </c>
      <c r="I21" t="n">
        <v>8.1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1</v>
      </c>
      <c r="V21" s="2" t="inlineStr">
        <is>
          <t>Havstulpanlav
Spillkråka
Skogsduva</t>
        </is>
      </c>
      <c r="W21">
        <f>HYPERLINK("https://klasma.github.io/Logging_1276/artfynd/A 54644-2023 artfynd.xlsx", "A 54644-2023")</f>
        <v/>
      </c>
      <c r="X21">
        <f>HYPERLINK("https://klasma.github.io/Logging_1276/kartor/A 54644-2023 karta.png", "A 54644-2023")</f>
        <v/>
      </c>
      <c r="Y21">
        <f>HYPERLINK("https://klasma.github.io/Logging_1276/kartor_geotiff/A 54644-2023 georefererad karta.tif", "A 54644-2023")</f>
        <v/>
      </c>
      <c r="AA21">
        <f>HYPERLINK("https://klasma.github.io/Logging_1276/klagomål/A 54644-2023 FSC-klagomål.docx", "A 54644-2023")</f>
        <v/>
      </c>
      <c r="AB21">
        <f>HYPERLINK("https://klasma.github.io/Logging_1276/klagomålsmail/A 54644-2023 FSC-klagomål mail.docx", "A 54644-2023")</f>
        <v/>
      </c>
      <c r="AC21">
        <f>HYPERLINK("https://klasma.github.io/Logging_1276/tillsyn/A 54644-2023 tillsynsbegäran.docx", "A 54644-2023")</f>
        <v/>
      </c>
      <c r="AD21">
        <f>HYPERLINK("https://klasma.github.io/Logging_1276/tillsynsmail/A 54644-2023 tillsynsbegäran mail.docx", "A 54644-2023")</f>
        <v/>
      </c>
      <c r="AE21">
        <f>HYPERLINK("https://klasma.github.io/Logging_1276/fåglar/A 54644-2023 prioriterade fågelarter.docx", "A 54644-2023")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46316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46316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46316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46316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46316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59769-2025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45992</v>
      </c>
      <c r="E27" s="1" t="n">
        <v>46316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Entita
Kungsfågel</t>
        </is>
      </c>
      <c r="W27">
        <f>HYPERLINK("https://klasma.github.io/Logging_1276/artfynd/A 59769-2025 artfynd.xlsx", "A 59769-2025")</f>
        <v/>
      </c>
      <c r="X27">
        <f>HYPERLINK("https://klasma.github.io/Logging_1276/kartor/A 59769-2025 karta.png", "A 59769-2025")</f>
        <v/>
      </c>
      <c r="Y27">
        <f>HYPERLINK("https://klasma.github.io/Logging_1276/kartor_geotiff/A 59769-2025 georefererad karta.tif", "A 59769-2025")</f>
        <v/>
      </c>
      <c r="AA27">
        <f>HYPERLINK("https://klasma.github.io/Logging_1276/klagomål/A 59769-2025 FSC-klagomål.docx", "A 59769-2025")</f>
        <v/>
      </c>
      <c r="AB27">
        <f>HYPERLINK("https://klasma.github.io/Logging_1276/klagomålsmail/A 59769-2025 FSC-klagomål mail.docx", "A 59769-2025")</f>
        <v/>
      </c>
      <c r="AC27">
        <f>HYPERLINK("https://klasma.github.io/Logging_1276/tillsyn/A 59769-2025 tillsynsbegäran.docx", "A 59769-2025")</f>
        <v/>
      </c>
      <c r="AD27">
        <f>HYPERLINK("https://klasma.github.io/Logging_1276/tillsynsmail/A 59769-2025 tillsynsbegäran mail.docx", "A 59769-2025")</f>
        <v/>
      </c>
      <c r="AE27">
        <f>HYPERLINK("https://klasma.github.io/Logging_1276/fåglar/A 59769-2025 prioriterade fågelarter.docx", "A 59769-2025")</f>
        <v/>
      </c>
    </row>
    <row r="28" ht="15" customHeight="1">
      <c r="A28" t="inlineStr">
        <is>
          <t>A 11673-2022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44633</v>
      </c>
      <c r="E28" s="1" t="n">
        <v>46316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Talltita
Vanlig groda</t>
        </is>
      </c>
      <c r="W28">
        <f>HYPERLINK("https://klasma.github.io/Logging_1276/artfynd/A 11673-2022 artfynd.xlsx", "A 11673-2022")</f>
        <v/>
      </c>
      <c r="X28">
        <f>HYPERLINK("https://klasma.github.io/Logging_1276/kartor/A 11673-2022 karta.png", "A 11673-2022")</f>
        <v/>
      </c>
      <c r="Y28">
        <f>HYPERLINK("https://klasma.github.io/Logging_1276/kartor_geotiff/A 11673-2022 georefererad karta.tif", "A 11673-2022")</f>
        <v/>
      </c>
      <c r="AA28">
        <f>HYPERLINK("https://klasma.github.io/Logging_1276/klagomål/A 11673-2022 FSC-klagomål.docx", "A 11673-2022")</f>
        <v/>
      </c>
      <c r="AB28">
        <f>HYPERLINK("https://klasma.github.io/Logging_1276/klagomålsmail/A 11673-2022 FSC-klagomål mail.docx", "A 11673-2022")</f>
        <v/>
      </c>
      <c r="AC28">
        <f>HYPERLINK("https://klasma.github.io/Logging_1276/tillsyn/A 11673-2022 tillsynsbegäran.docx", "A 11673-2022")</f>
        <v/>
      </c>
      <c r="AD28">
        <f>HYPERLINK("https://klasma.github.io/Logging_1276/tillsynsmail/A 11673-2022 tillsynsbegäran mail.docx", "A 11673-2022")</f>
        <v/>
      </c>
      <c r="AE28">
        <f>HYPERLINK("https://klasma.github.io/Logging_1276/fåglar/A 11673-2022 prioriterade fågelarter.docx", "A 11673-2022")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46316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20702-2023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45058</v>
      </c>
      <c r="E30" s="1" t="n">
        <v>46316</v>
      </c>
      <c r="F30" t="inlineStr">
        <is>
          <t>SKÅNE LÄN</t>
        </is>
      </c>
      <c r="G30" t="inlineStr">
        <is>
          <t>KLIPPAN</t>
        </is>
      </c>
      <c r="I30" t="n">
        <v>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Svinrot
Grönvit nattviol</t>
        </is>
      </c>
      <c r="W30">
        <f>HYPERLINK("https://klasma.github.io/Logging_1276/artfynd/A 20702-2023 artfynd.xlsx", "A 20702-2023")</f>
        <v/>
      </c>
      <c r="X30">
        <f>HYPERLINK("https://klasma.github.io/Logging_1276/kartor/A 20702-2023 karta.png", "A 20702-2023")</f>
        <v/>
      </c>
      <c r="Y30">
        <f>HYPERLINK("https://klasma.github.io/Logging_1276/kartor_geotiff/A 20702-2023 georefererad karta.tif", "A 20702-2023")</f>
        <v/>
      </c>
      <c r="AA30">
        <f>HYPERLINK("https://klasma.github.io/Logging_1276/klagomål/A 20702-2023 FSC-klagomål.docx", "A 20702-2023")</f>
        <v/>
      </c>
      <c r="AB30">
        <f>HYPERLINK("https://klasma.github.io/Logging_1276/klagomålsmail/A 20702-2023 FSC-klagomål mail.docx", "A 20702-2023")</f>
        <v/>
      </c>
      <c r="AC30">
        <f>HYPERLINK("https://klasma.github.io/Logging_1276/tillsyn/A 20702-2023 tillsynsbegäran.docx", "A 20702-2023")</f>
        <v/>
      </c>
      <c r="AD30">
        <f>HYPERLINK("https://klasma.github.io/Logging_1276/tillsynsmail/A 20702-2023 tillsynsbegäran mail.docx", "A 20702-2023")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46316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46316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46316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46316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46316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46316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46316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14892-2023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45015</v>
      </c>
      <c r="E38" s="1" t="n">
        <v>46316</v>
      </c>
      <c r="F38" t="inlineStr">
        <is>
          <t>SKÅNE LÄN</t>
        </is>
      </c>
      <c r="G38" t="inlineStr">
        <is>
          <t>KLIPPAN</t>
        </is>
      </c>
      <c r="I38" t="n">
        <v>2.7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14892-2023 artfynd.xlsx", "A 14892-2023")</f>
        <v/>
      </c>
      <c r="X38">
        <f>HYPERLINK("https://klasma.github.io/Logging_1276/kartor/A 14892-2023 karta.png", "A 14892-2023")</f>
        <v/>
      </c>
      <c r="Y38">
        <f>HYPERLINK("https://klasma.github.io/Logging_1276/kartor_geotiff/A 14892-2023 georefererad karta.tif", "A 14892-2023")</f>
        <v/>
      </c>
      <c r="AA38">
        <f>HYPERLINK("https://klasma.github.io/Logging_1276/klagomål/A 14892-2023 FSC-klagomål.docx", "A 14892-2023")</f>
        <v/>
      </c>
      <c r="AB38">
        <f>HYPERLINK("https://klasma.github.io/Logging_1276/klagomålsmail/A 14892-2023 FSC-klagomål mail.docx", "A 14892-2023")</f>
        <v/>
      </c>
      <c r="AC38">
        <f>HYPERLINK("https://klasma.github.io/Logging_1276/tillsyn/A 14892-2023 tillsynsbegäran.docx", "A 14892-2023")</f>
        <v/>
      </c>
      <c r="AD38">
        <f>HYPERLINK("https://klasma.github.io/Logging_1276/tillsynsmail/A 14892-2023 tillsynsbegäran mail.docx", "A 14892-2023")</f>
        <v/>
      </c>
      <c r="AE38">
        <f>HYPERLINK("https://klasma.github.io/Logging_1276/fåglar/A 14892-2023 prioriterade fågelarter.docx", "A 14892-2023")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46316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HYPERLINK("https://klasma.github.io/Logging_1276/artfynd/A 61058-2025 artfynd.xlsx", "A 61058-2025")</f>
        <v/>
      </c>
      <c r="X39">
        <f>HYPERLINK("https://klasma.github.io/Logging_1276/kartor/A 61058-2025 karta.png", "A 61058-2025")</f>
        <v/>
      </c>
      <c r="Y39">
        <f>HYPERLINK("https://klasma.github.io/Logging_1276/kartor_geotiff/A 61058-2025 georefererad karta.tif", "A 61058-2025")</f>
        <v/>
      </c>
      <c r="AA39">
        <f>HYPERLINK("https://klasma.github.io/Logging_1276/klagomål/A 61058-2025 FSC-klagomål.docx", "A 61058-2025")</f>
        <v/>
      </c>
      <c r="AB39">
        <f>HYPERLINK("https://klasma.github.io/Logging_1276/klagomålsmail/A 61058-2025 FSC-klagomål mail.docx", "A 61058-2025")</f>
        <v/>
      </c>
      <c r="AC39">
        <f>HYPERLINK("https://klasma.github.io/Logging_1276/tillsyn/A 61058-2025 tillsynsbegäran.docx", "A 61058-2025")</f>
        <v/>
      </c>
      <c r="AD39">
        <f>HYPERLINK("https://klasma.github.io/Logging_1276/tillsynsmail/A 61058-2025 tillsynsbegäran mail.docx", "A 61058-2025")</f>
        <v/>
      </c>
    </row>
    <row r="40" ht="15" customHeight="1">
      <c r="A40" t="inlineStr">
        <is>
          <t>A 61049-2025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46316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61049-2025 artfynd.xlsx", "A 61049-2025")</f>
        <v/>
      </c>
      <c r="X40">
        <f>HYPERLINK("https://klasma.github.io/Logging_1276/kartor/A 61049-2025 karta.png", "A 61049-2025")</f>
        <v/>
      </c>
      <c r="Y40">
        <f>HYPERLINK("https://klasma.github.io/Logging_1276/kartor_geotiff/A 61049-2025 georefererad karta.tif", "A 61049-2025")</f>
        <v/>
      </c>
      <c r="AA40">
        <f>HYPERLINK("https://klasma.github.io/Logging_1276/klagomål/A 61049-2025 FSC-klagomål.docx", "A 61049-2025")</f>
        <v/>
      </c>
      <c r="AB40">
        <f>HYPERLINK("https://klasma.github.io/Logging_1276/klagomålsmail/A 61049-2025 FSC-klagomål mail.docx", "A 61049-2025")</f>
        <v/>
      </c>
      <c r="AC40">
        <f>HYPERLINK("https://klasma.github.io/Logging_1276/tillsyn/A 61049-2025 tillsynsbegäran.docx", "A 61049-2025")</f>
        <v/>
      </c>
      <c r="AD40">
        <f>HYPERLINK("https://klasma.github.io/Logging_1276/tillsynsmail/A 61049-2025 tillsynsbegäran mail.docx", "A 61049-2025")</f>
        <v/>
      </c>
      <c r="AE40">
        <f>HYPERLINK("https://klasma.github.io/Logging_1276/fåglar/A 61049-2025 prioriterade fågelarter.docx", "A 61049-2025")</f>
        <v/>
      </c>
    </row>
    <row r="41" ht="15" customHeight="1">
      <c r="A41" t="inlineStr">
        <is>
          <t>A 21788-2026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46316</v>
      </c>
      <c r="F41" t="inlineStr">
        <is>
          <t>SKÅNE LÄN</t>
        </is>
      </c>
      <c r="G41" t="inlineStr">
        <is>
          <t>KLIPPAN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Bäckbräsma</t>
        </is>
      </c>
      <c r="W41">
        <f>HYPERLINK("https://klasma.github.io/Logging_1276/artfynd/A 21788-2026 artfynd.xlsx", "A 21788-2026")</f>
        <v/>
      </c>
      <c r="X41">
        <f>HYPERLINK("https://klasma.github.io/Logging_1276/kartor/A 21788-2026 karta.png", "A 21788-2026")</f>
        <v/>
      </c>
      <c r="Y41">
        <f>HYPERLINK("https://klasma.github.io/Logging_1276/kartor_geotiff/A 21788-2026 georefererad karta.tif", "A 21788-2026")</f>
        <v/>
      </c>
      <c r="AA41">
        <f>HYPERLINK("https://klasma.github.io/Logging_1276/klagomål/A 21788-2026 FSC-klagomål.docx", "A 21788-2026")</f>
        <v/>
      </c>
      <c r="AB41">
        <f>HYPERLINK("https://klasma.github.io/Logging_1276/klagomålsmail/A 21788-2026 FSC-klagomål mail.docx", "A 21788-2026")</f>
        <v/>
      </c>
      <c r="AC41">
        <f>HYPERLINK("https://klasma.github.io/Logging_1276/tillsyn/A 21788-2026 tillsynsbegäran.docx", "A 21788-2026")</f>
        <v/>
      </c>
      <c r="AD41">
        <f>HYPERLINK("https://klasma.github.io/Logging_1276/tillsynsmail/A 21788-2026 tillsynsbegäran mail.docx", "A 21788-2026")</f>
        <v/>
      </c>
    </row>
    <row r="42" ht="15" customHeight="1">
      <c r="A42" t="inlineStr">
        <is>
          <t>A 15810-2024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45404</v>
      </c>
      <c r="E42" s="1" t="n">
        <v>46316</v>
      </c>
      <c r="F42" t="inlineStr">
        <is>
          <t>SKÅNE LÄN</t>
        </is>
      </c>
      <c r="G42" t="inlineStr">
        <is>
          <t>KLIPPAN</t>
        </is>
      </c>
      <c r="H42" t="inlineStr">
        <is>
          <t>Sveaskog</t>
        </is>
      </c>
      <c r="I42" t="n">
        <v>3.7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HYPERLINK("https://klasma.github.io/Logging_1276/artfynd/A 15810-2024 artfynd.xlsx", "A 15810-2024")</f>
        <v/>
      </c>
      <c r="X42">
        <f>HYPERLINK("https://klasma.github.io/Logging_1276/kartor/A 15810-2024 karta.png", "A 15810-2024")</f>
        <v/>
      </c>
      <c r="Y42">
        <f>HYPERLINK("https://klasma.github.io/Logging_1276/kartor_geotiff/A 15810-2024 georefererad karta.tif", "A 15810-2024")</f>
        <v/>
      </c>
      <c r="AA42">
        <f>HYPERLINK("https://klasma.github.io/Logging_1276/klagomål/A 15810-2024 FSC-klagomål.docx", "A 15810-2024")</f>
        <v/>
      </c>
      <c r="AB42">
        <f>HYPERLINK("https://klasma.github.io/Logging_1276/klagomålsmail/A 15810-2024 FSC-klagomål mail.docx", "A 15810-2024")</f>
        <v/>
      </c>
      <c r="AC42">
        <f>HYPERLINK("https://klasma.github.io/Logging_1276/tillsyn/A 15810-2024 tillsynsbegäran.docx", "A 15810-2024")</f>
        <v/>
      </c>
      <c r="AD42">
        <f>HYPERLINK("https://klasma.github.io/Logging_1276/tillsynsmail/A 15810-2024 tillsynsbegäran mail.docx", "A 15810-2024")</f>
        <v/>
      </c>
    </row>
    <row r="43" ht="15" customHeight="1">
      <c r="A43" t="inlineStr">
        <is>
          <t>A 44885-2022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44841</v>
      </c>
      <c r="E43" s="1" t="n">
        <v>46316</v>
      </c>
      <c r="F43" t="inlineStr">
        <is>
          <t>SKÅNE LÄN</t>
        </is>
      </c>
      <c r="G43" t="inlineStr">
        <is>
          <t>KLIPPAN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HYPERLINK("https://klasma.github.io/Logging_1276/artfynd/A 44885-2022 artfynd.xlsx", "A 44885-2022")</f>
        <v/>
      </c>
      <c r="X43">
        <f>HYPERLINK("https://klasma.github.io/Logging_1276/kartor/A 44885-2022 karta.png", "A 44885-2022")</f>
        <v/>
      </c>
      <c r="Y43">
        <f>HYPERLINK("https://klasma.github.io/Logging_1276/kartor_geotiff/A 44885-2022 georefererad karta.tif", "A 44885-2022")</f>
        <v/>
      </c>
      <c r="AA43">
        <f>HYPERLINK("https://klasma.github.io/Logging_1276/klagomål/A 44885-2022 FSC-klagomål.docx", "A 44885-2022")</f>
        <v/>
      </c>
      <c r="AB43">
        <f>HYPERLINK("https://klasma.github.io/Logging_1276/klagomålsmail/A 44885-2022 FSC-klagomål mail.docx", "A 44885-2022")</f>
        <v/>
      </c>
      <c r="AC43">
        <f>HYPERLINK("https://klasma.github.io/Logging_1276/tillsyn/A 44885-2022 tillsynsbegäran.docx", "A 44885-2022")</f>
        <v/>
      </c>
      <c r="AD43">
        <f>HYPERLINK("https://klasma.github.io/Logging_1276/tillsynsmail/A 44885-2022 tillsynsbegäran mail.docx", "A 44885-2022")</f>
        <v/>
      </c>
    </row>
    <row r="44" ht="15" customHeight="1">
      <c r="A44" t="inlineStr">
        <is>
          <t>A 31279-2026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46316</v>
      </c>
      <c r="F44" t="inlineStr">
        <is>
          <t>SKÅNE LÄN</t>
        </is>
      </c>
      <c r="G44" t="inlineStr">
        <is>
          <t>KLIPPAN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31279-2026 artfynd.xlsx", "A 31279-2026")</f>
        <v/>
      </c>
      <c r="X44">
        <f>HYPERLINK("https://klasma.github.io/Logging_1276/kartor/A 31279-2026 karta.png", "A 31279-2026")</f>
        <v/>
      </c>
      <c r="Y44">
        <f>HYPERLINK("https://klasma.github.io/Logging_1276/kartor_geotiff/A 31279-2026 georefererad karta.tif", "A 31279-2026")</f>
        <v/>
      </c>
      <c r="AA44">
        <f>HYPERLINK("https://klasma.github.io/Logging_1276/klagomål/A 31279-2026 FSC-klagomål.docx", "A 31279-2026")</f>
        <v/>
      </c>
      <c r="AB44">
        <f>HYPERLINK("https://klasma.github.io/Logging_1276/klagomålsmail/A 31279-2026 FSC-klagomål mail.docx", "A 31279-2026")</f>
        <v/>
      </c>
      <c r="AC44">
        <f>HYPERLINK("https://klasma.github.io/Logging_1276/tillsyn/A 31279-2026 tillsynsbegäran.docx", "A 31279-2026")</f>
        <v/>
      </c>
      <c r="AD44">
        <f>HYPERLINK("https://klasma.github.io/Logging_1276/tillsynsmail/A 31279-2026 tillsynsbegäran mail.docx", "A 31279-2026")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46316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46147-2022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46316</v>
      </c>
      <c r="F46" t="inlineStr">
        <is>
          <t>SKÅNE LÄN</t>
        </is>
      </c>
      <c r="G46" t="inlineStr">
        <is>
          <t>KLIPPAN</t>
        </is>
      </c>
      <c r="I46" t="n">
        <v>5.7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Västlig hakmossa</t>
        </is>
      </c>
      <c r="W46">
        <f>HYPERLINK("https://klasma.github.io/Logging_1276/artfynd/A 46147-2022 artfynd.xlsx", "A 46147-2022")</f>
        <v/>
      </c>
      <c r="X46">
        <f>HYPERLINK("https://klasma.github.io/Logging_1276/kartor/A 46147-2022 karta.png", "A 46147-2022")</f>
        <v/>
      </c>
      <c r="Y46">
        <f>HYPERLINK("https://klasma.github.io/Logging_1276/kartor_geotiff/A 46147-2022 georefererad karta.tif", "A 46147-2022")</f>
        <v/>
      </c>
      <c r="AA46">
        <f>HYPERLINK("https://klasma.github.io/Logging_1276/klagomål/A 46147-2022 FSC-klagomål.docx", "A 46147-2022")</f>
        <v/>
      </c>
      <c r="AB46">
        <f>HYPERLINK("https://klasma.github.io/Logging_1276/klagomålsmail/A 46147-2022 FSC-klagomål mail.docx", "A 46147-2022")</f>
        <v/>
      </c>
      <c r="AC46">
        <f>HYPERLINK("https://klasma.github.io/Logging_1276/tillsyn/A 46147-2022 tillsynsbegäran.docx", "A 46147-2022")</f>
        <v/>
      </c>
      <c r="AD46">
        <f>HYPERLINK("https://klasma.github.io/Logging_1276/tillsynsmail/A 46147-2022 tillsynsbegäran mail.docx", "A 46147-2022")</f>
        <v/>
      </c>
    </row>
    <row r="47" ht="15" customHeight="1">
      <c r="A47" t="inlineStr">
        <is>
          <t>A 30520-2026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46210</v>
      </c>
      <c r="E47" s="1" t="n">
        <v>46316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7.3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Entita</t>
        </is>
      </c>
      <c r="W47">
        <f>HYPERLINK("https://klasma.github.io/Logging_1276/artfynd/A 30520-2026 artfynd.xlsx", "A 30520-2026")</f>
        <v/>
      </c>
      <c r="X47">
        <f>HYPERLINK("https://klasma.github.io/Logging_1276/kartor/A 30520-2026 karta.png", "A 30520-2026")</f>
        <v/>
      </c>
      <c r="Y47">
        <f>HYPERLINK("https://klasma.github.io/Logging_1276/kartor_geotiff/A 30520-2026 georefererad karta.tif", "A 30520-2026")</f>
        <v/>
      </c>
      <c r="AA47">
        <f>HYPERLINK("https://klasma.github.io/Logging_1276/klagomål/A 30520-2026 FSC-klagomål.docx", "A 30520-2026")</f>
        <v/>
      </c>
      <c r="AB47">
        <f>HYPERLINK("https://klasma.github.io/Logging_1276/klagomålsmail/A 30520-2026 FSC-klagomål mail.docx", "A 30520-2026")</f>
        <v/>
      </c>
      <c r="AC47">
        <f>HYPERLINK("https://klasma.github.io/Logging_1276/tillsyn/A 30520-2026 tillsynsbegäran.docx", "A 30520-2026")</f>
        <v/>
      </c>
      <c r="AD47">
        <f>HYPERLINK("https://klasma.github.io/Logging_1276/tillsynsmail/A 30520-2026 tillsynsbegäran mail.docx", "A 30520-2026")</f>
        <v/>
      </c>
      <c r="AE47">
        <f>HYPERLINK("https://klasma.github.io/Logging_1276/fåglar/A 30520-2026 prioriterade fågelarter.docx", "A 30520-2026")</f>
        <v/>
      </c>
    </row>
    <row r="48" ht="15" customHeight="1">
      <c r="A48" t="inlineStr">
        <is>
          <t>A 10000-2025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45719</v>
      </c>
      <c r="E48" s="1" t="n">
        <v>46316</v>
      </c>
      <c r="F48" t="inlineStr">
        <is>
          <t>SKÅNE LÄN</t>
        </is>
      </c>
      <c r="G48" t="inlineStr">
        <is>
          <t>KLIPPAN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Dvärghäxört</t>
        </is>
      </c>
      <c r="W48">
        <f>HYPERLINK("https://klasma.github.io/Logging_1276/artfynd/A 10000-2025 artfynd.xlsx", "A 10000-2025")</f>
        <v/>
      </c>
      <c r="X48">
        <f>HYPERLINK("https://klasma.github.io/Logging_1276/kartor/A 10000-2025 karta.png", "A 10000-2025")</f>
        <v/>
      </c>
      <c r="Y48">
        <f>HYPERLINK("https://klasma.github.io/Logging_1276/kartor_geotiff/A 10000-2025 georefererad karta.tif", "A 10000-2025")</f>
        <v/>
      </c>
      <c r="AA48">
        <f>HYPERLINK("https://klasma.github.io/Logging_1276/klagomål/A 10000-2025 FSC-klagomål.docx", "A 10000-2025")</f>
        <v/>
      </c>
      <c r="AB48">
        <f>HYPERLINK("https://klasma.github.io/Logging_1276/klagomålsmail/A 10000-2025 FSC-klagomål mail.docx", "A 10000-2025")</f>
        <v/>
      </c>
      <c r="AC48">
        <f>HYPERLINK("https://klasma.github.io/Logging_1276/tillsyn/A 10000-2025 tillsynsbegäran.docx", "A 10000-2025")</f>
        <v/>
      </c>
      <c r="AD48">
        <f>HYPERLINK("https://klasma.github.io/Logging_1276/tillsynsmail/A 10000-2025 tillsynsbegäran mail.docx", "A 10000-2025")</f>
        <v/>
      </c>
    </row>
    <row r="49" ht="15" customHeight="1">
      <c r="A49" t="inlineStr">
        <is>
          <t>A 51276-2024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46316</v>
      </c>
      <c r="F49" t="inlineStr">
        <is>
          <t>SKÅNE LÄN</t>
        </is>
      </c>
      <c r="G49" t="inlineStr">
        <is>
          <t>KLIPPAN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Rutskinn</t>
        </is>
      </c>
      <c r="W49">
        <f>HYPERLINK("https://klasma.github.io/Logging_1276/artfynd/A 51276-2024 artfynd.xlsx", "A 51276-2024")</f>
        <v/>
      </c>
      <c r="X49">
        <f>HYPERLINK("https://klasma.github.io/Logging_1276/kartor/A 51276-2024 karta.png", "A 51276-2024")</f>
        <v/>
      </c>
      <c r="Y49">
        <f>HYPERLINK("https://klasma.github.io/Logging_1276/kartor_geotiff/A 51276-2024 georefererad karta.tif", "A 51276-2024")</f>
        <v/>
      </c>
      <c r="AA49">
        <f>HYPERLINK("https://klasma.github.io/Logging_1276/klagomål/A 51276-2024 FSC-klagomål.docx", "A 51276-2024")</f>
        <v/>
      </c>
      <c r="AB49">
        <f>HYPERLINK("https://klasma.github.io/Logging_1276/klagomålsmail/A 51276-2024 FSC-klagomål mail.docx", "A 51276-2024")</f>
        <v/>
      </c>
      <c r="AC49">
        <f>HYPERLINK("https://klasma.github.io/Logging_1276/tillsyn/A 51276-2024 tillsynsbegäran.docx", "A 51276-2024")</f>
        <v/>
      </c>
      <c r="AD49">
        <f>HYPERLINK("https://klasma.github.io/Logging_1276/tillsynsmail/A 51276-2024 tillsynsbegäran mail.docx", "A 51276-2024")</f>
        <v/>
      </c>
    </row>
    <row r="50" ht="15" customHeight="1">
      <c r="A50" t="inlineStr">
        <is>
          <t>S 841-2023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44992</v>
      </c>
      <c r="E50" s="1" t="n">
        <v>46316</v>
      </c>
      <c r="F50" t="inlineStr">
        <is>
          <t>SKÅNE LÄN</t>
        </is>
      </c>
      <c r="G50" t="inlineStr">
        <is>
          <t>KLIPPAN</t>
        </is>
      </c>
      <c r="I50" t="n">
        <v>23.9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HYPERLINK("https://klasma.github.io/Logging_1276/artfynd/S 841-2023 artfynd.xlsx", "S 841-2023")</f>
        <v/>
      </c>
      <c r="X50">
        <f>HYPERLINK("https://klasma.github.io/Logging_1276/kartor/S 841-2023 karta.png", "S 841-2023")</f>
        <v/>
      </c>
      <c r="Y50">
        <f>HYPERLINK("https://klasma.github.io/Logging_1276/kartor_geotiff/S 841-2023 georefererad karta.tif", "S 841-2023")</f>
        <v/>
      </c>
      <c r="AA50">
        <f>HYPERLINK("https://klasma.github.io/Logging_1276/klagomål/S 841-2023 FSC-klagomål.docx", "S 841-2023")</f>
        <v/>
      </c>
      <c r="AB50">
        <f>HYPERLINK("https://klasma.github.io/Logging_1276/klagomålsmail/S 841-2023 FSC-klagomål mail.docx", "S 841-2023")</f>
        <v/>
      </c>
      <c r="AC50">
        <f>HYPERLINK("https://klasma.github.io/Logging_1276/tillsyn/S 841-2023 tillsynsbegäran.docx", "S 841-2023")</f>
        <v/>
      </c>
      <c r="AD50">
        <f>HYPERLINK("https://klasma.github.io/Logging_1276/tillsynsmail/S 841-2023 tillsynsbegäran mail.docx", "S 841-2023")</f>
        <v/>
      </c>
    </row>
    <row r="51" ht="15" customHeight="1">
      <c r="A51" t="inlineStr">
        <is>
          <t>S 3667-2023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45217</v>
      </c>
      <c r="E51" s="1" t="n">
        <v>46316</v>
      </c>
      <c r="F51" t="inlineStr">
        <is>
          <t>SKÅNE LÄN</t>
        </is>
      </c>
      <c r="G51" t="inlineStr">
        <is>
          <t>KLIPPAN</t>
        </is>
      </c>
      <c r="I51" t="n">
        <v>186.4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HYPERLINK("https://klasma.github.io/Logging_1276/artfynd/S 3667-2023 artfynd.xlsx", "S 3667-2023")</f>
        <v/>
      </c>
      <c r="X51">
        <f>HYPERLINK("https://klasma.github.io/Logging_1276/kartor/S 3667-2023 karta.png", "S 3667-2023")</f>
        <v/>
      </c>
      <c r="Y51">
        <f>HYPERLINK("https://klasma.github.io/Logging_1276/kartor_geotiff/S 3667-2023 georefererad karta.tif", "S 3667-2023")</f>
        <v/>
      </c>
      <c r="AA51">
        <f>HYPERLINK("https://klasma.github.io/Logging_1276/klagomål/S 3667-2023 FSC-klagomål.docx", "S 3667-2023")</f>
        <v/>
      </c>
      <c r="AB51">
        <f>HYPERLINK("https://klasma.github.io/Logging_1276/klagomålsmail/S 3667-2023 FSC-klagomål mail.docx", "S 3667-2023")</f>
        <v/>
      </c>
      <c r="AC51">
        <f>HYPERLINK("https://klasma.github.io/Logging_1276/tillsyn/S 3667-2023 tillsynsbegäran.docx", "S 3667-2023")</f>
        <v/>
      </c>
      <c r="AD51">
        <f>HYPERLINK("https://klasma.github.io/Logging_1276/tillsynsmail/S 3667-2023 tillsynsbegäran mail.docx", "S 3667-2023")</f>
        <v/>
      </c>
    </row>
    <row r="52" ht="15" customHeight="1">
      <c r="A52" t="inlineStr">
        <is>
          <t>S 5988-2022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44859</v>
      </c>
      <c r="E52" s="1" t="n">
        <v>46316</v>
      </c>
      <c r="F52" t="inlineStr">
        <is>
          <t>SKÅNE LÄN</t>
        </is>
      </c>
      <c r="G52" t="inlineStr">
        <is>
          <t>KLIPPAN</t>
        </is>
      </c>
      <c r="I52" t="n">
        <v>27.8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HYPERLINK("https://klasma.github.io/Logging_1276/artfynd/S 5988-2022 artfynd.xlsx", "S 5988-2022")</f>
        <v/>
      </c>
      <c r="X52">
        <f>HYPERLINK("https://klasma.github.io/Logging_1276/kartor/S 5988-2022 karta.png", "S 5988-2022")</f>
        <v/>
      </c>
      <c r="Y52">
        <f>HYPERLINK("https://klasma.github.io/Logging_1276/kartor_geotiff/S 5988-2022 georefererad karta.tif", "S 5988-2022")</f>
        <v/>
      </c>
      <c r="AA52">
        <f>HYPERLINK("https://klasma.github.io/Logging_1276/klagomål/S 5988-2022 FSC-klagomål.docx", "S 5988-2022")</f>
        <v/>
      </c>
      <c r="AB52">
        <f>HYPERLINK("https://klasma.github.io/Logging_1276/klagomålsmail/S 5988-2022 FSC-klagomål mail.docx", "S 5988-2022")</f>
        <v/>
      </c>
      <c r="AC52">
        <f>HYPERLINK("https://klasma.github.io/Logging_1276/tillsyn/S 5988-2022 tillsynsbegäran.docx", "S 5988-2022")</f>
        <v/>
      </c>
      <c r="AD52">
        <f>HYPERLINK("https://klasma.github.io/Logging_1276/tillsynsmail/S 5988-2022 tillsynsbegäran mail.docx", "S 5988-2022")</f>
        <v/>
      </c>
    </row>
    <row r="53" ht="15" customHeight="1">
      <c r="A53" t="inlineStr">
        <is>
          <t>S 2025-2022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44665</v>
      </c>
      <c r="E53" s="1" t="n">
        <v>46316</v>
      </c>
      <c r="F53" t="inlineStr">
        <is>
          <t>SKÅNE LÄN</t>
        </is>
      </c>
      <c r="G53" t="inlineStr">
        <is>
          <t>KLIPPAN</t>
        </is>
      </c>
      <c r="I53" t="n">
        <v>13.5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HYPERLINK("https://klasma.github.io/Logging_1276/artfynd/S 2025-2022 artfynd.xlsx", "S 2025-2022")</f>
        <v/>
      </c>
      <c r="X53">
        <f>HYPERLINK("https://klasma.github.io/Logging_1276/kartor/S 2025-2022 karta.png", "S 2025-2022")</f>
        <v/>
      </c>
      <c r="Y53">
        <f>HYPERLINK("https://klasma.github.io/Logging_1276/kartor_geotiff/S 2025-2022 georefererad karta.tif", "S 2025-2022")</f>
        <v/>
      </c>
      <c r="AA53">
        <f>HYPERLINK("https://klasma.github.io/Logging_1276/klagomål/S 2025-2022 FSC-klagomål.docx", "S 2025-2022")</f>
        <v/>
      </c>
      <c r="AB53">
        <f>HYPERLINK("https://klasma.github.io/Logging_1276/klagomålsmail/S 2025-2022 FSC-klagomål mail.docx", "S 2025-2022")</f>
        <v/>
      </c>
      <c r="AC53">
        <f>HYPERLINK("https://klasma.github.io/Logging_1276/tillsyn/S 2025-2022 tillsynsbegäran.docx", "S 2025-2022")</f>
        <v/>
      </c>
      <c r="AD53">
        <f>HYPERLINK("https://klasma.github.io/Logging_1276/tillsynsmail/S 2025-2022 tillsynsbegäran mail.docx", "S 2025-2022")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46316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46316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46316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44691</v>
      </c>
      <c r="E57" s="1" t="n">
        <v>46316</v>
      </c>
      <c r="F57" t="inlineStr">
        <is>
          <t>SKÅNE LÄN</t>
        </is>
      </c>
      <c r="G57" t="inlineStr">
        <is>
          <t>KLIPPAN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44697</v>
      </c>
      <c r="E58" s="1" t="n">
        <v>46316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46316</v>
      </c>
      <c r="F59" t="inlineStr">
        <is>
          <t>SKÅNE LÄN</t>
        </is>
      </c>
      <c r="G59" t="inlineStr">
        <is>
          <t>KLIPPAN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69392-2021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46316</v>
      </c>
      <c r="F60" t="inlineStr">
        <is>
          <t>SKÅNE LÄN</t>
        </is>
      </c>
      <c r="G60" t="inlineStr">
        <is>
          <t>KLIPPAN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46316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44621</v>
      </c>
      <c r="E62" s="1" t="n">
        <v>46316</v>
      </c>
      <c r="F62" t="inlineStr">
        <is>
          <t>SKÅNE LÄN</t>
        </is>
      </c>
      <c r="G62" t="inlineStr">
        <is>
          <t>KLIPPAN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46316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44608</v>
      </c>
      <c r="E64" s="1" t="n">
        <v>46316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44575</v>
      </c>
      <c r="E65" s="1" t="n">
        <v>46316</v>
      </c>
      <c r="F65" t="inlineStr">
        <is>
          <t>SKÅNE LÄN</t>
        </is>
      </c>
      <c r="G65" t="inlineStr">
        <is>
          <t>KLIPPAN</t>
        </is>
      </c>
      <c r="H65" t="inlineStr">
        <is>
          <t>Sveaskog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46316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32455-2022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44782</v>
      </c>
      <c r="E67" s="1" t="n">
        <v>46316</v>
      </c>
      <c r="F67" t="inlineStr">
        <is>
          <t>SKÅNE LÄN</t>
        </is>
      </c>
      <c r="G67" t="inlineStr">
        <is>
          <t>KLIPPAN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46316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46316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46316</v>
      </c>
      <c r="F70" t="inlineStr">
        <is>
          <t>SKÅNE LÄN</t>
        </is>
      </c>
      <c r="G70" t="inlineStr">
        <is>
          <t>KLIPPAN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46316</v>
      </c>
      <c r="F71" t="inlineStr">
        <is>
          <t>SKÅNE LÄN</t>
        </is>
      </c>
      <c r="G71" t="inlineStr">
        <is>
          <t>KLIPPAN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46316</v>
      </c>
      <c r="F72" t="inlineStr">
        <is>
          <t>SKÅNE LÄN</t>
        </is>
      </c>
      <c r="G72" t="inlineStr">
        <is>
          <t>KLIPPAN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45660</v>
      </c>
      <c r="E73" s="1" t="n">
        <v>46316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44944</v>
      </c>
      <c r="E74" s="1" t="n">
        <v>46316</v>
      </c>
      <c r="F74" t="inlineStr">
        <is>
          <t>SKÅNE LÄN</t>
        </is>
      </c>
      <c r="G74" t="inlineStr">
        <is>
          <t>KLIPPAN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53868-2022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46316</v>
      </c>
      <c r="F75" t="inlineStr">
        <is>
          <t>SKÅNE LÄN</t>
        </is>
      </c>
      <c r="G75" t="inlineStr">
        <is>
          <t>KLIPPAN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45079</v>
      </c>
      <c r="E76" s="1" t="n">
        <v>46316</v>
      </c>
      <c r="F76" t="inlineStr">
        <is>
          <t>SKÅNE LÄN</t>
        </is>
      </c>
      <c r="G76" t="inlineStr">
        <is>
          <t>KLIPPAN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45523</v>
      </c>
      <c r="E77" s="1" t="n">
        <v>46316</v>
      </c>
      <c r="F77" t="inlineStr">
        <is>
          <t>SKÅNE LÄN</t>
        </is>
      </c>
      <c r="G77" t="inlineStr">
        <is>
          <t>KLIPPAN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45544</v>
      </c>
      <c r="E78" s="1" t="n">
        <v>46316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46316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45537</v>
      </c>
      <c r="E80" s="1" t="n">
        <v>46316</v>
      </c>
      <c r="F80" t="inlineStr">
        <is>
          <t>SKÅNE LÄN</t>
        </is>
      </c>
      <c r="G80" t="inlineStr">
        <is>
          <t>KLIPPAN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46316</v>
      </c>
      <c r="F81" t="inlineStr">
        <is>
          <t>SKÅNE LÄN</t>
        </is>
      </c>
      <c r="G81" t="inlineStr">
        <is>
          <t>KLIPPAN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44228-2024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45573</v>
      </c>
      <c r="E82" s="1" t="n">
        <v>46316</v>
      </c>
      <c r="F82" t="inlineStr">
        <is>
          <t>SKÅNE LÄN</t>
        </is>
      </c>
      <c r="G82" t="inlineStr">
        <is>
          <t>KLIPPAN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46316</v>
      </c>
      <c r="F83" t="inlineStr">
        <is>
          <t>SKÅNE LÄN</t>
        </is>
      </c>
      <c r="G83" t="inlineStr">
        <is>
          <t>KLIPPAN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69394-2021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44531</v>
      </c>
      <c r="E84" s="1" t="n">
        <v>46316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45610</v>
      </c>
      <c r="E85" s="1" t="n">
        <v>46316</v>
      </c>
      <c r="F85" t="inlineStr">
        <is>
          <t>SKÅNE LÄN</t>
        </is>
      </c>
      <c r="G85" t="inlineStr">
        <is>
          <t>KLIPPAN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46316</v>
      </c>
      <c r="F86" t="inlineStr">
        <is>
          <t>SKÅNE LÄN</t>
        </is>
      </c>
      <c r="G86" t="inlineStr">
        <is>
          <t>KLIPPAN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46316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45328</v>
      </c>
      <c r="E88" s="1" t="n">
        <v>46316</v>
      </c>
      <c r="F88" t="inlineStr">
        <is>
          <t>SKÅNE LÄN</t>
        </is>
      </c>
      <c r="G88" t="inlineStr">
        <is>
          <t>KLIPPAN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46316</v>
      </c>
      <c r="F89" t="inlineStr">
        <is>
          <t>SKÅNE LÄN</t>
        </is>
      </c>
      <c r="G89" t="inlineStr">
        <is>
          <t>KLIPPAN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46316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46027</v>
      </c>
      <c r="E91" s="1" t="n">
        <v>46316</v>
      </c>
      <c r="F91" t="inlineStr">
        <is>
          <t>SKÅNE LÄN</t>
        </is>
      </c>
      <c r="G91" t="inlineStr">
        <is>
          <t>KLIPPAN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46316</v>
      </c>
      <c r="F92" t="inlineStr">
        <is>
          <t>SKÅNE LÄN</t>
        </is>
      </c>
      <c r="G92" t="inlineStr">
        <is>
          <t>KLIPPAN</t>
        </is>
      </c>
      <c r="H92" t="inlineStr">
        <is>
          <t>Sveaskog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46316</v>
      </c>
      <c r="F93" t="inlineStr">
        <is>
          <t>SKÅNE LÄN</t>
        </is>
      </c>
      <c r="G93" t="inlineStr">
        <is>
          <t>KLIPPAN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46316</v>
      </c>
      <c r="F94" t="inlineStr">
        <is>
          <t>SKÅNE LÄN</t>
        </is>
      </c>
      <c r="G94" t="inlineStr">
        <is>
          <t>KLIPPAN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27898-2025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46316</v>
      </c>
      <c r="F95" t="inlineStr">
        <is>
          <t>SKÅNE LÄN</t>
        </is>
      </c>
      <c r="G95" t="inlineStr">
        <is>
          <t>KLIPPAN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46316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45094</v>
      </c>
      <c r="E97" s="1" t="n">
        <v>46316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46316</v>
      </c>
      <c r="F98" t="inlineStr">
        <is>
          <t>SKÅNE LÄN</t>
        </is>
      </c>
      <c r="G98" t="inlineStr">
        <is>
          <t>KLIPPAN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46316</v>
      </c>
      <c r="F99" t="inlineStr">
        <is>
          <t>SKÅNE LÄN</t>
        </is>
      </c>
      <c r="G99" t="inlineStr">
        <is>
          <t>KLIPPAN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46316</v>
      </c>
      <c r="F100" t="inlineStr">
        <is>
          <t>SKÅNE LÄN</t>
        </is>
      </c>
      <c r="G100" t="inlineStr">
        <is>
          <t>KLIPPAN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46316</v>
      </c>
      <c r="F101" t="inlineStr">
        <is>
          <t>SKÅNE LÄN</t>
        </is>
      </c>
      <c r="G101" t="inlineStr">
        <is>
          <t>KLIPPAN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46316</v>
      </c>
      <c r="F102" t="inlineStr">
        <is>
          <t>SKÅNE LÄN</t>
        </is>
      </c>
      <c r="G102" t="inlineStr">
        <is>
          <t>KLIPPAN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46049</v>
      </c>
      <c r="E103" s="1" t="n">
        <v>46316</v>
      </c>
      <c r="F103" t="inlineStr">
        <is>
          <t>SKÅNE LÄN</t>
        </is>
      </c>
      <c r="G103" t="inlineStr">
        <is>
          <t>KLIPPAN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46316</v>
      </c>
      <c r="F104" t="inlineStr">
        <is>
          <t>SKÅNE LÄN</t>
        </is>
      </c>
      <c r="G104" t="inlineStr">
        <is>
          <t>KLIPPAN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46316</v>
      </c>
      <c r="F105" t="inlineStr">
        <is>
          <t>SKÅNE LÄN</t>
        </is>
      </c>
      <c r="G105" t="inlineStr">
        <is>
          <t>KLIPPAN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46316</v>
      </c>
      <c r="F106" t="inlineStr">
        <is>
          <t>SKÅNE LÄN</t>
        </is>
      </c>
      <c r="G106" t="inlineStr">
        <is>
          <t>KLIPPAN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46316</v>
      </c>
      <c r="F107" t="inlineStr">
        <is>
          <t>SKÅNE LÄN</t>
        </is>
      </c>
      <c r="G107" t="inlineStr">
        <is>
          <t>KLIPPAN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46316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60791-2023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45260</v>
      </c>
      <c r="E109" s="1" t="n">
        <v>46316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45077</v>
      </c>
      <c r="E110" s="1" t="n">
        <v>46316</v>
      </c>
      <c r="F110" t="inlineStr">
        <is>
          <t>SKÅNE LÄN</t>
        </is>
      </c>
      <c r="G110" t="inlineStr">
        <is>
          <t>KLIPPAN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46316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46316</v>
      </c>
      <c r="F112" t="inlineStr">
        <is>
          <t>SKÅNE LÄN</t>
        </is>
      </c>
      <c r="G112" t="inlineStr">
        <is>
          <t>KLIPPAN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46316</v>
      </c>
      <c r="F113" t="inlineStr">
        <is>
          <t>SKÅNE LÄN</t>
        </is>
      </c>
      <c r="G113" t="inlineStr">
        <is>
          <t>KLIPPAN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46316</v>
      </c>
      <c r="F114" t="inlineStr">
        <is>
          <t>SKÅNE LÄN</t>
        </is>
      </c>
      <c r="G114" t="inlineStr">
        <is>
          <t>KLIPPAN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45950</v>
      </c>
      <c r="E115" s="1" t="n">
        <v>46316</v>
      </c>
      <c r="F115" t="inlineStr">
        <is>
          <t>SKÅNE LÄN</t>
        </is>
      </c>
      <c r="G115" t="inlineStr">
        <is>
          <t>KLIPPAN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46316</v>
      </c>
      <c r="F116" t="inlineStr">
        <is>
          <t>SKÅNE LÄN</t>
        </is>
      </c>
      <c r="G116" t="inlineStr">
        <is>
          <t>KLIPPAN</t>
        </is>
      </c>
      <c r="H116" t="inlineStr">
        <is>
          <t>Övriga Aktiebolag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45739</v>
      </c>
      <c r="E117" s="1" t="n">
        <v>46316</v>
      </c>
      <c r="F117" t="inlineStr">
        <is>
          <t>SKÅNE LÄN</t>
        </is>
      </c>
      <c r="G117" t="inlineStr">
        <is>
          <t>KLIPPAN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29284-2025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45824</v>
      </c>
      <c r="E118" s="1" t="n">
        <v>46316</v>
      </c>
      <c r="F118" t="inlineStr">
        <is>
          <t>SKÅNE LÄN</t>
        </is>
      </c>
      <c r="G118" t="inlineStr">
        <is>
          <t>KLIPPAN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46316</v>
      </c>
      <c r="F119" t="inlineStr">
        <is>
          <t>SKÅNE LÄN</t>
        </is>
      </c>
      <c r="G119" t="inlineStr">
        <is>
          <t>KLIPPAN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46316</v>
      </c>
      <c r="F120" t="inlineStr">
        <is>
          <t>SKÅNE LÄN</t>
        </is>
      </c>
      <c r="G120" t="inlineStr">
        <is>
          <t>KLIPPAN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46316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32132-2025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46316</v>
      </c>
      <c r="F122" t="inlineStr">
        <is>
          <t>SKÅNE LÄN</t>
        </is>
      </c>
      <c r="G122" t="inlineStr">
        <is>
          <t>KLIPPAN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45972</v>
      </c>
      <c r="E123" s="1" t="n">
        <v>46316</v>
      </c>
      <c r="F123" t="inlineStr">
        <is>
          <t>SKÅNE LÄN</t>
        </is>
      </c>
      <c r="G123" t="inlineStr">
        <is>
          <t>KLIPPAN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46316</v>
      </c>
      <c r="F124" t="inlineStr">
        <is>
          <t>SKÅNE LÄN</t>
        </is>
      </c>
      <c r="G124" t="inlineStr">
        <is>
          <t>KLIPPAN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45055</v>
      </c>
      <c r="E125" s="1" t="n">
        <v>46316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46316</v>
      </c>
      <c r="F126" t="inlineStr">
        <is>
          <t>SKÅNE LÄN</t>
        </is>
      </c>
      <c r="G126" t="inlineStr">
        <is>
          <t>KLIPPAN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46316</v>
      </c>
      <c r="F127" t="inlineStr">
        <is>
          <t>SKÅNE LÄN</t>
        </is>
      </c>
      <c r="G127" t="inlineStr">
        <is>
          <t>KLIPPAN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46316</v>
      </c>
      <c r="F128" t="inlineStr">
        <is>
          <t>SKÅNE LÄN</t>
        </is>
      </c>
      <c r="G128" t="inlineStr">
        <is>
          <t>KLIPPAN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46316</v>
      </c>
      <c r="F129" t="inlineStr">
        <is>
          <t>SKÅNE LÄN</t>
        </is>
      </c>
      <c r="G129" t="inlineStr">
        <is>
          <t>KLIPPAN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46316</v>
      </c>
      <c r="F130" t="inlineStr">
        <is>
          <t>SKÅNE LÄN</t>
        </is>
      </c>
      <c r="G130" t="inlineStr">
        <is>
          <t>KLIPPAN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46316</v>
      </c>
      <c r="F131" t="inlineStr">
        <is>
          <t>SKÅNE LÄN</t>
        </is>
      </c>
      <c r="G131" t="inlineStr">
        <is>
          <t>KLIPPAN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46316</v>
      </c>
      <c r="F132" t="inlineStr">
        <is>
          <t>SKÅNE LÄN</t>
        </is>
      </c>
      <c r="G132" t="inlineStr">
        <is>
          <t>KLIPPAN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46316</v>
      </c>
      <c r="F133" t="inlineStr">
        <is>
          <t>SKÅNE LÄN</t>
        </is>
      </c>
      <c r="G133" t="inlineStr">
        <is>
          <t>KLIPPAN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46316</v>
      </c>
      <c r="F134" t="inlineStr">
        <is>
          <t>SKÅNE LÄN</t>
        </is>
      </c>
      <c r="G134" t="inlineStr">
        <is>
          <t>KLIPPAN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46316</v>
      </c>
      <c r="F135" t="inlineStr">
        <is>
          <t>SKÅNE LÄN</t>
        </is>
      </c>
      <c r="G135" t="inlineStr">
        <is>
          <t>KLIPPAN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55833-2023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45239</v>
      </c>
      <c r="E136" s="1" t="n">
        <v>46316</v>
      </c>
      <c r="F136" t="inlineStr">
        <is>
          <t>SKÅNE LÄN</t>
        </is>
      </c>
      <c r="G136" t="inlineStr">
        <is>
          <t>KLIPPAN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46316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46316</v>
      </c>
      <c r="F138" t="inlineStr">
        <is>
          <t>SKÅNE LÄN</t>
        </is>
      </c>
      <c r="G138" t="inlineStr">
        <is>
          <t>KLIPPAN</t>
        </is>
      </c>
      <c r="H138" t="inlineStr">
        <is>
          <t>Sveaskog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45055</v>
      </c>
      <c r="E139" s="1" t="n">
        <v>46316</v>
      </c>
      <c r="F139" t="inlineStr">
        <is>
          <t>SKÅNE LÄN</t>
        </is>
      </c>
      <c r="G139" t="inlineStr">
        <is>
          <t>KLIPPAN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45673</v>
      </c>
      <c r="E140" s="1" t="n">
        <v>46316</v>
      </c>
      <c r="F140" t="inlineStr">
        <is>
          <t>SKÅNE LÄN</t>
        </is>
      </c>
      <c r="G140" t="inlineStr">
        <is>
          <t>KLIPPAN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46316</v>
      </c>
      <c r="F141" t="inlineStr">
        <is>
          <t>SKÅNE LÄN</t>
        </is>
      </c>
      <c r="G141" t="inlineStr">
        <is>
          <t>KLIPPAN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46316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46316</v>
      </c>
      <c r="F143" t="inlineStr">
        <is>
          <t>SKÅNE LÄN</t>
        </is>
      </c>
      <c r="G143" t="inlineStr">
        <is>
          <t>KLIPPAN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46316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46316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46316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46316</v>
      </c>
      <c r="F147" t="inlineStr">
        <is>
          <t>SKÅNE LÄN</t>
        </is>
      </c>
      <c r="G147" t="inlineStr">
        <is>
          <t>KLIPPAN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46316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46316</v>
      </c>
      <c r="F149" t="inlineStr">
        <is>
          <t>SKÅNE LÄN</t>
        </is>
      </c>
      <c r="G149" t="inlineStr">
        <is>
          <t>KLIPPAN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46316</v>
      </c>
      <c r="F150" t="inlineStr">
        <is>
          <t>SKÅNE LÄN</t>
        </is>
      </c>
      <c r="G150" t="inlineStr">
        <is>
          <t>KLIPPAN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46728-2023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45198</v>
      </c>
      <c r="E151" s="1" t="n">
        <v>46316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46316</v>
      </c>
      <c r="F152" t="inlineStr">
        <is>
          <t>SKÅNE LÄN</t>
        </is>
      </c>
      <c r="G152" t="inlineStr">
        <is>
          <t>KLIPPAN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21609-2026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46316</v>
      </c>
      <c r="F153" t="inlineStr">
        <is>
          <t>SKÅNE LÄN</t>
        </is>
      </c>
      <c r="G153" t="inlineStr">
        <is>
          <t>KLIPPAN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46316</v>
      </c>
      <c r="F154" t="inlineStr">
        <is>
          <t>SKÅNE LÄN</t>
        </is>
      </c>
      <c r="G154" t="inlineStr">
        <is>
          <t>KLIPPAN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46316</v>
      </c>
      <c r="F155" t="inlineStr">
        <is>
          <t>SKÅNE LÄN</t>
        </is>
      </c>
      <c r="G155" t="inlineStr">
        <is>
          <t>KLIPPAN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45320</v>
      </c>
      <c r="E156" s="1" t="n">
        <v>46316</v>
      </c>
      <c r="F156" t="inlineStr">
        <is>
          <t>SKÅNE LÄN</t>
        </is>
      </c>
      <c r="G156" t="inlineStr">
        <is>
          <t>KLIPPAN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21778-2026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46316</v>
      </c>
      <c r="F157" t="inlineStr">
        <is>
          <t>SKÅNE LÄN</t>
        </is>
      </c>
      <c r="G157" t="inlineStr">
        <is>
          <t>KLIPPAN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44825</v>
      </c>
      <c r="E158" s="1" t="n">
        <v>46316</v>
      </c>
      <c r="F158" t="inlineStr">
        <is>
          <t>SKÅNE LÄN</t>
        </is>
      </c>
      <c r="G158" t="inlineStr">
        <is>
          <t>KLIPPAN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46316</v>
      </c>
      <c r="F159" t="inlineStr">
        <is>
          <t>SKÅNE LÄN</t>
        </is>
      </c>
      <c r="G159" t="inlineStr">
        <is>
          <t>KLIPPAN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44978</v>
      </c>
      <c r="E160" s="1" t="n">
        <v>46316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46013</v>
      </c>
      <c r="E161" s="1" t="n">
        <v>46316</v>
      </c>
      <c r="F161" t="inlineStr">
        <is>
          <t>SKÅNE LÄN</t>
        </is>
      </c>
      <c r="G161" t="inlineStr">
        <is>
          <t>KLIPPAN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46316</v>
      </c>
      <c r="F162" t="inlineStr">
        <is>
          <t>SKÅNE LÄN</t>
        </is>
      </c>
      <c r="G162" t="inlineStr">
        <is>
          <t>KLIPPAN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46316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44944</v>
      </c>
      <c r="E164" s="1" t="n">
        <v>46316</v>
      </c>
      <c r="F164" t="inlineStr">
        <is>
          <t>SKÅNE LÄN</t>
        </is>
      </c>
      <c r="G164" t="inlineStr">
        <is>
          <t>KLIPPAN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46316</v>
      </c>
      <c r="F165" t="inlineStr">
        <is>
          <t>SKÅNE LÄN</t>
        </is>
      </c>
      <c r="G165" t="inlineStr">
        <is>
          <t>KLIPPAN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44616</v>
      </c>
      <c r="E166" s="1" t="n">
        <v>46316</v>
      </c>
      <c r="F166" t="inlineStr">
        <is>
          <t>SKÅNE LÄN</t>
        </is>
      </c>
      <c r="G166" t="inlineStr">
        <is>
          <t>KLIPPAN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46316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46316</v>
      </c>
      <c r="F168" t="inlineStr">
        <is>
          <t>SKÅNE LÄN</t>
        </is>
      </c>
      <c r="G168" t="inlineStr">
        <is>
          <t>KLIPPAN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46316</v>
      </c>
      <c r="F169" t="inlineStr">
        <is>
          <t>SKÅNE LÄN</t>
        </is>
      </c>
      <c r="G169" t="inlineStr">
        <is>
          <t>KLIPPAN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46316</v>
      </c>
      <c r="F170" t="inlineStr">
        <is>
          <t>SKÅNE LÄN</t>
        </is>
      </c>
      <c r="G170" t="inlineStr">
        <is>
          <t>KLIPPAN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69041-2021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44529</v>
      </c>
      <c r="E171" s="1" t="n">
        <v>46316</v>
      </c>
      <c r="F171" t="inlineStr">
        <is>
          <t>SKÅNE LÄN</t>
        </is>
      </c>
      <c r="G171" t="inlineStr">
        <is>
          <t>KLIPPAN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46316</v>
      </c>
      <c r="F172" t="inlineStr">
        <is>
          <t>SKÅNE LÄN</t>
        </is>
      </c>
      <c r="G172" t="inlineStr">
        <is>
          <t>KLIPPAN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46316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46316</v>
      </c>
      <c r="F174" t="inlineStr">
        <is>
          <t>SKÅNE LÄN</t>
        </is>
      </c>
      <c r="G174" t="inlineStr">
        <is>
          <t>KLIPPAN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46316</v>
      </c>
      <c r="F175" t="inlineStr">
        <is>
          <t>SKÅNE LÄN</t>
        </is>
      </c>
      <c r="G175" t="inlineStr">
        <is>
          <t>KLIPPAN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46316</v>
      </c>
      <c r="F176" t="inlineStr">
        <is>
          <t>SKÅNE LÄN</t>
        </is>
      </c>
      <c r="G176" t="inlineStr">
        <is>
          <t>KLIPPAN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44988</v>
      </c>
      <c r="E177" s="1" t="n">
        <v>46316</v>
      </c>
      <c r="F177" t="inlineStr">
        <is>
          <t>SKÅNE LÄN</t>
        </is>
      </c>
      <c r="G177" t="inlineStr">
        <is>
          <t>KLIPPAN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46202</v>
      </c>
      <c r="E178" s="1" t="n">
        <v>46316</v>
      </c>
      <c r="F178" t="inlineStr">
        <is>
          <t>SKÅNE LÄN</t>
        </is>
      </c>
      <c r="G178" t="inlineStr">
        <is>
          <t>KLIPPAN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46316</v>
      </c>
      <c r="F179" t="inlineStr">
        <is>
          <t>SKÅNE LÄN</t>
        </is>
      </c>
      <c r="G179" t="inlineStr">
        <is>
          <t>KLIPPAN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46316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46209</v>
      </c>
      <c r="E181" s="1" t="n">
        <v>46316</v>
      </c>
      <c r="F181" t="inlineStr">
        <is>
          <t>SKÅNE LÄN</t>
        </is>
      </c>
      <c r="G181" t="inlineStr">
        <is>
          <t>KLIPPAN</t>
        </is>
      </c>
      <c r="H181" t="inlineStr">
        <is>
          <t>Övriga Aktiebolag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44609</v>
      </c>
      <c r="E182" s="1" t="n">
        <v>46316</v>
      </c>
      <c r="F182" t="inlineStr">
        <is>
          <t>SKÅNE LÄN</t>
        </is>
      </c>
      <c r="G182" t="inlineStr">
        <is>
          <t>KLIPPAN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46209</v>
      </c>
      <c r="E183" s="1" t="n">
        <v>46316</v>
      </c>
      <c r="F183" t="inlineStr">
        <is>
          <t>SKÅNE LÄN</t>
        </is>
      </c>
      <c r="G183" t="inlineStr">
        <is>
          <t>KLIPPAN</t>
        </is>
      </c>
      <c r="H183" t="inlineStr">
        <is>
          <t>Sveaskog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46316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46209</v>
      </c>
      <c r="E185" s="1" t="n">
        <v>46316</v>
      </c>
      <c r="F185" t="inlineStr">
        <is>
          <t>SKÅNE LÄN</t>
        </is>
      </c>
      <c r="G185" t="inlineStr">
        <is>
          <t>KLIPPAN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46216</v>
      </c>
      <c r="E186" s="1" t="n">
        <v>46316</v>
      </c>
      <c r="F186" t="inlineStr">
        <is>
          <t>SKÅNE LÄN</t>
        </is>
      </c>
      <c r="G186" t="inlineStr">
        <is>
          <t>KLIPPAN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23341-2026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46162</v>
      </c>
      <c r="E187" s="1" t="n">
        <v>46316</v>
      </c>
      <c r="F187" t="inlineStr">
        <is>
          <t>SKÅNE LÄN</t>
        </is>
      </c>
      <c r="G187" t="inlineStr">
        <is>
          <t>KLIPPAN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46216</v>
      </c>
      <c r="E188" s="1" t="n">
        <v>46316</v>
      </c>
      <c r="F188" t="inlineStr">
        <is>
          <t>SKÅNE LÄN</t>
        </is>
      </c>
      <c r="G188" t="inlineStr">
        <is>
          <t>KLIPPAN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46216</v>
      </c>
      <c r="E189" s="1" t="n">
        <v>46316</v>
      </c>
      <c r="F189" t="inlineStr">
        <is>
          <t>SKÅNE LÄN</t>
        </is>
      </c>
      <c r="G189" t="inlineStr">
        <is>
          <t>KLIPPAN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45739</v>
      </c>
      <c r="E190" s="1" t="n">
        <v>46316</v>
      </c>
      <c r="F190" t="inlineStr">
        <is>
          <t>SKÅNE LÄN</t>
        </is>
      </c>
      <c r="G190" t="inlineStr">
        <is>
          <t>KLIPPAN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46316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42275-2024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46316</v>
      </c>
      <c r="F192" t="inlineStr">
        <is>
          <t>SKÅNE LÄN</t>
        </is>
      </c>
      <c r="G192" t="inlineStr">
        <is>
          <t>KLIPPAN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46316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46316</v>
      </c>
      <c r="F194" t="inlineStr">
        <is>
          <t>SKÅNE LÄN</t>
        </is>
      </c>
      <c r="G194" t="inlineStr">
        <is>
          <t>KLIPPAN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45641-2022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44845</v>
      </c>
      <c r="E195" s="1" t="n">
        <v>46316</v>
      </c>
      <c r="F195" t="inlineStr">
        <is>
          <t>SKÅNE LÄN</t>
        </is>
      </c>
      <c r="G195" t="inlineStr">
        <is>
          <t>KLIPPAN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45442</v>
      </c>
      <c r="E196" s="1" t="n">
        <v>46316</v>
      </c>
      <c r="F196" t="inlineStr">
        <is>
          <t>SKÅNE LÄN</t>
        </is>
      </c>
      <c r="G196" t="inlineStr">
        <is>
          <t>KLIPPAN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46316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46281</v>
      </c>
      <c r="E198" s="1" t="n">
        <v>46316</v>
      </c>
      <c r="F198" t="inlineStr">
        <is>
          <t>SKÅNE LÄN</t>
        </is>
      </c>
      <c r="G198" t="inlineStr">
        <is>
          <t>KLIPPAN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46316</v>
      </c>
      <c r="F199" t="inlineStr">
        <is>
          <t>SKÅNE LÄN</t>
        </is>
      </c>
      <c r="G199" t="inlineStr">
        <is>
          <t>KLIPPAN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46316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46286</v>
      </c>
      <c r="E201" s="1" t="n">
        <v>46316</v>
      </c>
      <c r="F201" t="inlineStr">
        <is>
          <t>SKÅNE LÄN</t>
        </is>
      </c>
      <c r="G201" t="inlineStr">
        <is>
          <t>KLIPPAN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46316</v>
      </c>
      <c r="F202" t="inlineStr">
        <is>
          <t>SKÅNE LÄN</t>
        </is>
      </c>
      <c r="G202" t="inlineStr">
        <is>
          <t>KLIPPAN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46316</v>
      </c>
      <c r="F203" t="inlineStr">
        <is>
          <t>SKÅNE LÄN</t>
        </is>
      </c>
      <c r="G203" t="inlineStr">
        <is>
          <t>KLIPPAN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45005</v>
      </c>
      <c r="E204" s="1" t="n">
        <v>46316</v>
      </c>
      <c r="F204" t="inlineStr">
        <is>
          <t>SKÅNE LÄN</t>
        </is>
      </c>
      <c r="G204" t="inlineStr">
        <is>
          <t>KLIPPAN</t>
        </is>
      </c>
      <c r="H204" t="inlineStr">
        <is>
          <t>Övriga Aktiebolag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44593</v>
      </c>
      <c r="E205" s="1" t="n">
        <v>46316</v>
      </c>
      <c r="F205" t="inlineStr">
        <is>
          <t>SKÅNE LÄN</t>
        </is>
      </c>
      <c r="G205" t="inlineStr">
        <is>
          <t>KLIPPAN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46316</v>
      </c>
      <c r="F206" t="inlineStr">
        <is>
          <t>SKÅNE LÄN</t>
        </is>
      </c>
      <c r="G206" t="inlineStr">
        <is>
          <t>KLIPPAN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46287</v>
      </c>
      <c r="E207" s="1" t="n">
        <v>46316</v>
      </c>
      <c r="F207" t="inlineStr">
        <is>
          <t>SKÅNE LÄN</t>
        </is>
      </c>
      <c r="G207" t="inlineStr">
        <is>
          <t>KLIPPAN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46245</v>
      </c>
      <c r="E208" s="1" t="n">
        <v>46316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44855</v>
      </c>
      <c r="E209" s="1" t="n">
        <v>46316</v>
      </c>
      <c r="F209" t="inlineStr">
        <is>
          <t>SKÅNE LÄN</t>
        </is>
      </c>
      <c r="G209" t="inlineStr">
        <is>
          <t>KLIPPAN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46316</v>
      </c>
      <c r="F210" t="inlineStr">
        <is>
          <t>SKÅNE LÄN</t>
        </is>
      </c>
      <c r="G210" t="inlineStr">
        <is>
          <t>KLIPPAN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46316</v>
      </c>
      <c r="F211" t="inlineStr">
        <is>
          <t>SKÅNE LÄN</t>
        </is>
      </c>
      <c r="G211" t="inlineStr">
        <is>
          <t>KLIPPAN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46316</v>
      </c>
      <c r="F212" t="inlineStr">
        <is>
          <t>SKÅNE LÄN</t>
        </is>
      </c>
      <c r="G212" t="inlineStr">
        <is>
          <t>KLIPPAN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46316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46316</v>
      </c>
      <c r="F214" t="inlineStr">
        <is>
          <t>SKÅNE LÄN</t>
        </is>
      </c>
      <c r="G214" t="inlineStr">
        <is>
          <t>KLIPPAN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46316</v>
      </c>
      <c r="F215" t="inlineStr">
        <is>
          <t>SKÅNE LÄN</t>
        </is>
      </c>
      <c r="G215" t="inlineStr">
        <is>
          <t>KLIPPAN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46251</v>
      </c>
      <c r="E216" s="1" t="n">
        <v>46316</v>
      </c>
      <c r="F216" t="inlineStr">
        <is>
          <t>SKÅNE LÄN</t>
        </is>
      </c>
      <c r="G216" t="inlineStr">
        <is>
          <t>KLIPPAN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45442</v>
      </c>
      <c r="E217" s="1" t="n">
        <v>46316</v>
      </c>
      <c r="F217" t="inlineStr">
        <is>
          <t>SKÅNE LÄN</t>
        </is>
      </c>
      <c r="G217" t="inlineStr">
        <is>
          <t>KLIPPAN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46295</v>
      </c>
      <c r="E218" s="1" t="n">
        <v>46316</v>
      </c>
      <c r="F218" t="inlineStr">
        <is>
          <t>SKÅNE LÄN</t>
        </is>
      </c>
      <c r="G218" t="inlineStr">
        <is>
          <t>KLIPPAN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44936</v>
      </c>
      <c r="E219" s="1" t="n">
        <v>46316</v>
      </c>
      <c r="F219" t="inlineStr">
        <is>
          <t>SKÅNE LÄN</t>
        </is>
      </c>
      <c r="G219" t="inlineStr">
        <is>
          <t>KLIPPAN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45055</v>
      </c>
      <c r="E220" s="1" t="n">
        <v>46316</v>
      </c>
      <c r="F220" t="inlineStr">
        <is>
          <t>SKÅNE LÄN</t>
        </is>
      </c>
      <c r="G220" t="inlineStr">
        <is>
          <t>KLIPPAN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52877-2022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46316</v>
      </c>
      <c r="F221" t="inlineStr">
        <is>
          <t>SKÅNE LÄN</t>
        </is>
      </c>
      <c r="G221" t="inlineStr">
        <is>
          <t>KLIPPAN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46316</v>
      </c>
      <c r="F222" t="inlineStr">
        <is>
          <t>SKÅNE LÄN</t>
        </is>
      </c>
      <c r="G222" t="inlineStr">
        <is>
          <t>KLIPPAN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46316</v>
      </c>
      <c r="F223" t="inlineStr">
        <is>
          <t>SKÅNE LÄN</t>
        </is>
      </c>
      <c r="G223" t="inlineStr">
        <is>
          <t>KLIPPAN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45279</v>
      </c>
      <c r="E224" s="1" t="n">
        <v>46316</v>
      </c>
      <c r="F224" t="inlineStr">
        <is>
          <t>SKÅNE LÄN</t>
        </is>
      </c>
      <c r="G224" t="inlineStr">
        <is>
          <t>KLIPPAN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20002-2022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44697</v>
      </c>
      <c r="E225" s="1" t="n">
        <v>46316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46316</v>
      </c>
      <c r="F226" t="inlineStr">
        <is>
          <t>SKÅNE LÄN</t>
        </is>
      </c>
      <c r="G226" t="inlineStr">
        <is>
          <t>KLIPPAN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46316</v>
      </c>
      <c r="F227" t="inlineStr">
        <is>
          <t>SKÅNE LÄN</t>
        </is>
      </c>
      <c r="G227" t="inlineStr">
        <is>
          <t>KLIPPAN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68856-2021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44530</v>
      </c>
      <c r="E228" s="1" t="n">
        <v>46316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45199</v>
      </c>
      <c r="E229" s="1" t="n">
        <v>46316</v>
      </c>
      <c r="F229" t="inlineStr">
        <is>
          <t>SKÅNE LÄN</t>
        </is>
      </c>
      <c r="G229" t="inlineStr">
        <is>
          <t>KLIPPAN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46316</v>
      </c>
      <c r="F230" t="inlineStr">
        <is>
          <t>SKÅNE LÄN</t>
        </is>
      </c>
      <c r="G230" t="inlineStr">
        <is>
          <t>KLIPPAN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46168</v>
      </c>
      <c r="E231" s="1" t="n">
        <v>46316</v>
      </c>
      <c r="F231" t="inlineStr">
        <is>
          <t>SKÅNE LÄN</t>
        </is>
      </c>
      <c r="G231" t="inlineStr">
        <is>
          <t>KLIPPAN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46316</v>
      </c>
      <c r="F232" t="inlineStr">
        <is>
          <t>SKÅNE LÄN</t>
        </is>
      </c>
      <c r="G232" t="inlineStr">
        <is>
          <t>KLIPPAN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46223</v>
      </c>
      <c r="E233" s="1" t="n">
        <v>46316</v>
      </c>
      <c r="F233" t="inlineStr">
        <is>
          <t>SKÅNE LÄN</t>
        </is>
      </c>
      <c r="G233" t="inlineStr">
        <is>
          <t>KLIPPAN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46316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46316</v>
      </c>
      <c r="F235" t="inlineStr">
        <is>
          <t>SKÅNE LÄN</t>
        </is>
      </c>
      <c r="G235" t="inlineStr">
        <is>
          <t>KLIPPAN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45072</v>
      </c>
      <c r="E236" s="1" t="n">
        <v>46316</v>
      </c>
      <c r="F236" t="inlineStr">
        <is>
          <t>SKÅNE LÄN</t>
        </is>
      </c>
      <c r="G236" t="inlineStr">
        <is>
          <t>KLIPPAN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23978-2022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44722</v>
      </c>
      <c r="E237" s="1" t="n">
        <v>46316</v>
      </c>
      <c r="F237" t="inlineStr">
        <is>
          <t>SKÅNE LÄN</t>
        </is>
      </c>
      <c r="G237" t="inlineStr">
        <is>
          <t>KLIPPAN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46210</v>
      </c>
      <c r="E238" s="1" t="n">
        <v>46316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46316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45163</v>
      </c>
      <c r="E240" s="1" t="n">
        <v>46316</v>
      </c>
      <c r="F240" t="inlineStr">
        <is>
          <t>SKÅNE LÄN</t>
        </is>
      </c>
      <c r="G240" t="inlineStr">
        <is>
          <t>KLIPPAN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46309</v>
      </c>
      <c r="E241" s="1" t="n">
        <v>46316</v>
      </c>
      <c r="F241" t="inlineStr">
        <is>
          <t>SKÅNE LÄN</t>
        </is>
      </c>
      <c r="G241" t="inlineStr">
        <is>
          <t>KLIPPAN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44722</v>
      </c>
      <c r="E242" s="1" t="n">
        <v>46316</v>
      </c>
      <c r="F242" t="inlineStr">
        <is>
          <t>SKÅNE LÄN</t>
        </is>
      </c>
      <c r="G242" t="inlineStr">
        <is>
          <t>KLIPPAN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46265</v>
      </c>
      <c r="E243" s="1" t="n">
        <v>46316</v>
      </c>
      <c r="F243" t="inlineStr">
        <is>
          <t>SKÅNE LÄN</t>
        </is>
      </c>
      <c r="G243" t="inlineStr">
        <is>
          <t>KLIPPAN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45714</v>
      </c>
      <c r="E244" s="1" t="n">
        <v>46316</v>
      </c>
      <c r="F244" t="inlineStr">
        <is>
          <t>SKÅNE LÄN</t>
        </is>
      </c>
      <c r="G244" t="inlineStr">
        <is>
          <t>KLIPPAN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46316</v>
      </c>
      <c r="F245" t="inlineStr">
        <is>
          <t>SKÅNE LÄN</t>
        </is>
      </c>
      <c r="G245" t="inlineStr">
        <is>
          <t>KLIPPAN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46316</v>
      </c>
      <c r="F246" t="inlineStr">
        <is>
          <t>SKÅNE LÄN</t>
        </is>
      </c>
      <c r="G246" t="inlineStr">
        <is>
          <t>KLIPPAN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45324</v>
      </c>
      <c r="E247" s="1" t="n">
        <v>46316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45069</v>
      </c>
      <c r="E248" s="1" t="n">
        <v>46316</v>
      </c>
      <c r="F248" t="inlineStr">
        <is>
          <t>SKÅNE LÄN</t>
        </is>
      </c>
      <c r="G248" t="inlineStr">
        <is>
          <t>KLIPPAN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44697</v>
      </c>
      <c r="E249" s="1" t="n">
        <v>46316</v>
      </c>
      <c r="F249" t="inlineStr">
        <is>
          <t>SKÅNE LÄN</t>
        </is>
      </c>
      <c r="G249" t="inlineStr">
        <is>
          <t>KLIPPAN</t>
        </is>
      </c>
      <c r="I249" t="n">
        <v>17.2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46316</v>
      </c>
      <c r="F250" t="inlineStr">
        <is>
          <t>SKÅNE LÄN</t>
        </is>
      </c>
      <c r="G250" t="inlineStr">
        <is>
          <t>KLIPPAN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46269</v>
      </c>
      <c r="E251" s="1" t="n">
        <v>46316</v>
      </c>
      <c r="F251" t="inlineStr">
        <is>
          <t>SKÅNE LÄN</t>
        </is>
      </c>
      <c r="G251" t="inlineStr">
        <is>
          <t>KLIPPAN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46315</v>
      </c>
      <c r="E252" s="1" t="n">
        <v>46316</v>
      </c>
      <c r="F252" t="inlineStr">
        <is>
          <t>SKÅNE LÄN</t>
        </is>
      </c>
      <c r="G252" t="inlineStr">
        <is>
          <t>KLIPPAN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45275</v>
      </c>
      <c r="E253" s="1" t="n">
        <v>46316</v>
      </c>
      <c r="F253" t="inlineStr">
        <is>
          <t>SKÅNE LÄN</t>
        </is>
      </c>
      <c r="G253" t="inlineStr">
        <is>
          <t>KLIPPAN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45393</v>
      </c>
      <c r="E254" s="1" t="n">
        <v>46316</v>
      </c>
      <c r="F254" t="inlineStr">
        <is>
          <t>SKÅNE LÄN</t>
        </is>
      </c>
      <c r="G254" t="inlineStr">
        <is>
          <t>KLIPPAN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44855</v>
      </c>
      <c r="E255" s="1" t="n">
        <v>46316</v>
      </c>
      <c r="F255" t="inlineStr">
        <is>
          <t>SKÅNE LÄN</t>
        </is>
      </c>
      <c r="G255" t="inlineStr">
        <is>
          <t>KLIPPAN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45341</v>
      </c>
      <c r="E256" s="1" t="n">
        <v>46316</v>
      </c>
      <c r="F256" t="inlineStr">
        <is>
          <t>SKÅNE LÄN</t>
        </is>
      </c>
      <c r="G256" t="inlineStr">
        <is>
          <t>KLIPPAN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46316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11.6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45005</v>
      </c>
      <c r="E258" s="1" t="n">
        <v>46316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46316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46316</v>
      </c>
      <c r="F260" t="inlineStr">
        <is>
          <t>SKÅNE LÄN</t>
        </is>
      </c>
      <c r="G260" t="inlineStr">
        <is>
          <t>KLIPPAN</t>
        </is>
      </c>
      <c r="H260" t="inlineStr">
        <is>
          <t>Sveaskog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45320</v>
      </c>
      <c r="E261" s="1" t="n">
        <v>46316</v>
      </c>
      <c r="F261" t="inlineStr">
        <is>
          <t>SKÅNE LÄN</t>
        </is>
      </c>
      <c r="G261" t="inlineStr">
        <is>
          <t>KLIPPAN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45554</v>
      </c>
      <c r="E262" s="1" t="n">
        <v>46316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46316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46316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46316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46316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46316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46316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46316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46316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46316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46316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46316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46316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46316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3792-2024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46316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2690-2022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46316</v>
      </c>
      <c r="F277" t="inlineStr">
        <is>
          <t>SKÅNE LÄN</t>
        </is>
      </c>
      <c r="G277" t="inlineStr">
        <is>
          <t>KLIPPAN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2225-2023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45109</v>
      </c>
      <c r="E278" s="1" t="n">
        <v>46316</v>
      </c>
      <c r="F278" t="inlineStr">
        <is>
          <t>SKÅNE LÄN</t>
        </is>
      </c>
      <c r="G278" t="inlineStr">
        <is>
          <t>KLIPPAN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5892-2022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44853</v>
      </c>
      <c r="E279" s="1" t="n">
        <v>46316</v>
      </c>
      <c r="F279" t="inlineStr">
        <is>
          <t>SKÅNE LÄN</t>
        </is>
      </c>
      <c r="G279" t="inlineStr">
        <is>
          <t>KLIPPAN</t>
        </is>
      </c>
      <c r="I279" t="n">
        <v>24.6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5986-2022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44859</v>
      </c>
      <c r="E280" s="1" t="n">
        <v>46316</v>
      </c>
      <c r="F280" t="inlineStr">
        <is>
          <t>SKÅNE LÄN</t>
        </is>
      </c>
      <c r="G280" t="inlineStr">
        <is>
          <t>KLIPPAN</t>
        </is>
      </c>
      <c r="I280" t="n">
        <v>19.6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4186-2024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45579</v>
      </c>
      <c r="E281" s="1" t="n">
        <v>46316</v>
      </c>
      <c r="F281" t="inlineStr">
        <is>
          <t>SKÅNE LÄN</t>
        </is>
      </c>
      <c r="G281" t="inlineStr">
        <is>
          <t>KLIPPAN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3806-2024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46316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1606-2025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45798</v>
      </c>
      <c r="E283" s="1" t="n">
        <v>46316</v>
      </c>
      <c r="F283" t="inlineStr">
        <is>
          <t>SKÅNE LÄN</t>
        </is>
      </c>
      <c r="G283" t="inlineStr">
        <is>
          <t>KLIPPAN</t>
        </is>
      </c>
      <c r="I283" t="n">
        <v>11.7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2907-2025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45947</v>
      </c>
      <c r="E284" s="1" t="n">
        <v>46316</v>
      </c>
      <c r="F284" t="inlineStr">
        <is>
          <t>SKÅNE LÄN</t>
        </is>
      </c>
      <c r="G284" t="inlineStr">
        <is>
          <t>KLIPPAN</t>
        </is>
      </c>
      <c r="I284" t="n">
        <v>48.2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83-2026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46034</v>
      </c>
      <c r="E285" s="1" t="n">
        <v>46316</v>
      </c>
      <c r="F285" t="inlineStr">
        <is>
          <t>SKÅNE LÄN</t>
        </is>
      </c>
      <c r="G285" t="inlineStr">
        <is>
          <t>KLIPPAN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166-2026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46044</v>
      </c>
      <c r="E286" s="1" t="n">
        <v>46316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2022-2026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46316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14.3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2019-2026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46316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20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2020-2026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46316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30.3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2026-10-21T02:06:44Z</dcterms:created>
  <dcterms:modified xmlns:dcterms="http://purl.org/dc/terms/" xmlns:xsi="http://www.w3.org/2001/XMLSchema-instance" xsi:type="dcterms:W3CDTF">2026-10-21T02:06:44Z</dcterms:modified>
</cp:coreProperties>
</file>