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46266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46266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46266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46266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46266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46266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46266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46266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46266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46266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46266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46266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46266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46266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Havstulpanlav
Spillkråka
Skogsduva</t>
        </is>
      </c>
      <c r="W17">
        <f>HYPERLINK("https://klasma.github.io/Logging_1276/artfynd/A 54644-2023 artfynd.xlsx", "A 54644-2023")</f>
        <v/>
      </c>
      <c r="X17">
        <f>HYPERLINK("https://klasma.github.io/Logging_1276/kartor/A 54644-2023 karta.png", "A 54644-2023")</f>
        <v/>
      </c>
      <c r="Y17">
        <f>HYPERLINK("https://klasma.github.io/Logging_1276/kartor_geotiff/A 54644-2023 georefererad karta.tif", "A 54644-2023")</f>
        <v/>
      </c>
      <c r="AA17">
        <f>HYPERLINK("https://klasma.github.io/Logging_1276/klagomål/A 54644-2023 FSC-klagomål.docx", "A 54644-2023")</f>
        <v/>
      </c>
      <c r="AB17">
        <f>HYPERLINK("https://klasma.github.io/Logging_1276/klagomålsmail/A 54644-2023 FSC-klagomål mail.docx", "A 54644-2023")</f>
        <v/>
      </c>
      <c r="AC17">
        <f>HYPERLINK("https://klasma.github.io/Logging_1276/tillsyn/A 54644-2023 tillsynsbegäran.docx", "A 54644-2023")</f>
        <v/>
      </c>
      <c r="AD17">
        <f>HYPERLINK("https://klasma.github.io/Logging_1276/tillsynsmail/A 54644-2023 tillsynsbegäran mail.docx", "A 54644-2023")</f>
        <v/>
      </c>
      <c r="AE17">
        <f>HYPERLINK("https://klasma.github.io/Logging_1276/fåglar/A 54644-2023 prioriterade fågelarter.docx", "A 54644-2023")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46266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46266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46266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46266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46266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46266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46266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46266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46266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46266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46266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46266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46266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51276-2024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46266</v>
      </c>
      <c r="F31" t="inlineStr">
        <is>
          <t>SKÅNE LÄN</t>
        </is>
      </c>
      <c r="G31" t="inlineStr">
        <is>
          <t>KLIPPAN</t>
        </is>
      </c>
      <c r="I31" t="n">
        <v>2.4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Rutskinn</t>
        </is>
      </c>
      <c r="W31">
        <f>HYPERLINK("https://klasma.github.io/Logging_1276/artfynd/A 51276-2024 artfynd.xlsx", "A 51276-2024")</f>
        <v/>
      </c>
      <c r="X31">
        <f>HYPERLINK("https://klasma.github.io/Logging_1276/kartor/A 51276-2024 karta.png", "A 51276-2024")</f>
        <v/>
      </c>
      <c r="Y31">
        <f>HYPERLINK("https://klasma.github.io/Logging_1276/kartor_geotiff/A 51276-2024 georefererad karta.tif", "A 51276-2024")</f>
        <v/>
      </c>
      <c r="AA31">
        <f>HYPERLINK("https://klasma.github.io/Logging_1276/klagomål/A 51276-2024 FSC-klagomål.docx", "A 51276-2024")</f>
        <v/>
      </c>
      <c r="AB31">
        <f>HYPERLINK("https://klasma.github.io/Logging_1276/klagomålsmail/A 51276-2024 FSC-klagomål mail.docx", "A 51276-2024")</f>
        <v/>
      </c>
      <c r="AC31">
        <f>HYPERLINK("https://klasma.github.io/Logging_1276/tillsyn/A 51276-2024 tillsynsbegäran.docx", "A 51276-2024")</f>
        <v/>
      </c>
      <c r="AD31">
        <f>HYPERLINK("https://klasma.github.io/Logging_1276/tillsynsmail/A 51276-2024 tillsynsbegäran mail.docx", "A 51276-2024")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46266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46266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15810-2024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45404</v>
      </c>
      <c r="E34" s="1" t="n">
        <v>46266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HYPERLINK("https://klasma.github.io/Logging_1276/artfynd/A 15810-2024 artfynd.xlsx", "A 15810-2024")</f>
        <v/>
      </c>
      <c r="X34">
        <f>HYPERLINK("https://klasma.github.io/Logging_1276/kartor/A 15810-2024 karta.png", "A 15810-2024")</f>
        <v/>
      </c>
      <c r="Y34">
        <f>HYPERLINK("https://klasma.github.io/Logging_1276/kartor_geotiff/A 15810-2024 georefererad karta.tif", "A 15810-2024")</f>
        <v/>
      </c>
      <c r="AA34">
        <f>HYPERLINK("https://klasma.github.io/Logging_1276/klagomål/A 15810-2024 FSC-klagomål.docx", "A 15810-2024")</f>
        <v/>
      </c>
      <c r="AB34">
        <f>HYPERLINK("https://klasma.github.io/Logging_1276/klagomålsmail/A 15810-2024 FSC-klagomål mail.docx", "A 15810-2024")</f>
        <v/>
      </c>
      <c r="AC34">
        <f>HYPERLINK("https://klasma.github.io/Logging_1276/tillsyn/A 15810-2024 tillsynsbegäran.docx", "A 15810-2024")</f>
        <v/>
      </c>
      <c r="AD34">
        <f>HYPERLINK("https://klasma.github.io/Logging_1276/tillsynsmail/A 15810-2024 tillsynsbegäran mail.docx", "A 15810-2024")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46266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46266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61049-2025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46266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61049-2025 artfynd.xlsx", "A 61049-2025")</f>
        <v/>
      </c>
      <c r="X37">
        <f>HYPERLINK("https://klasma.github.io/Logging_1276/kartor/A 61049-2025 karta.png", "A 61049-2025")</f>
        <v/>
      </c>
      <c r="Y37">
        <f>HYPERLINK("https://klasma.github.io/Logging_1276/kartor_geotiff/A 61049-2025 georefererad karta.tif", "A 61049-2025")</f>
        <v/>
      </c>
      <c r="AA37">
        <f>HYPERLINK("https://klasma.github.io/Logging_1276/klagomål/A 61049-2025 FSC-klagomål.docx", "A 61049-2025")</f>
        <v/>
      </c>
      <c r="AB37">
        <f>HYPERLINK("https://klasma.github.io/Logging_1276/klagomålsmail/A 61049-2025 FSC-klagomål mail.docx", "A 61049-2025")</f>
        <v/>
      </c>
      <c r="AC37">
        <f>HYPERLINK("https://klasma.github.io/Logging_1276/tillsyn/A 61049-2025 tillsynsbegäran.docx", "A 61049-2025")</f>
        <v/>
      </c>
      <c r="AD37">
        <f>HYPERLINK("https://klasma.github.io/Logging_1276/tillsynsmail/A 61049-2025 tillsynsbegäran mail.docx", "A 61049-2025")</f>
        <v/>
      </c>
      <c r="AE37">
        <f>HYPERLINK("https://klasma.github.io/Logging_1276/fåglar/A 61049-2025 prioriterade fågelarter.docx", "A 61049-2025")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46266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46266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46266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46266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46266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46266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46266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46266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46266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46266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46266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46266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46266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46266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46266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46266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46266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46266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46266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46266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46266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46266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46266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46266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46266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46266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46266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46266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46266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46266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45660</v>
      </c>
      <c r="E68" s="1" t="n">
        <v>46266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46266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46266</v>
      </c>
      <c r="F70" t="inlineStr">
        <is>
          <t>SKÅNE LÄN</t>
        </is>
      </c>
      <c r="G70" t="inlineStr">
        <is>
          <t>KLIPPAN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46266</v>
      </c>
      <c r="F71" t="inlineStr">
        <is>
          <t>SKÅNE LÄN</t>
        </is>
      </c>
      <c r="G71" t="inlineStr">
        <is>
          <t>KLIPPAN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45349</v>
      </c>
      <c r="E72" s="1" t="n">
        <v>46266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46266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46266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46266</v>
      </c>
      <c r="F75" t="inlineStr">
        <is>
          <t>SKÅNE LÄN</t>
        </is>
      </c>
      <c r="G75" t="inlineStr">
        <is>
          <t>KLIPPAN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46266</v>
      </c>
      <c r="F76" t="inlineStr">
        <is>
          <t>SKÅNE LÄN</t>
        </is>
      </c>
      <c r="G76" t="inlineStr">
        <is>
          <t>KLIPPAN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46266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45544</v>
      </c>
      <c r="E78" s="1" t="n">
        <v>46266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46266</v>
      </c>
      <c r="F79" t="inlineStr">
        <is>
          <t>SKÅNE LÄN</t>
        </is>
      </c>
      <c r="G79" t="inlineStr">
        <is>
          <t>KLIPPAN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46266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46266</v>
      </c>
      <c r="F81" t="inlineStr">
        <is>
          <t>SKÅNE LÄN</t>
        </is>
      </c>
      <c r="G81" t="inlineStr">
        <is>
          <t>KLIPPAN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42627-2025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46266</v>
      </c>
      <c r="F82" t="inlineStr">
        <is>
          <t>SKÅNE LÄN</t>
        </is>
      </c>
      <c r="G82" t="inlineStr">
        <is>
          <t>KLIPPAN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45573</v>
      </c>
      <c r="E83" s="1" t="n">
        <v>46266</v>
      </c>
      <c r="F83" t="inlineStr">
        <is>
          <t>SKÅNE LÄN</t>
        </is>
      </c>
      <c r="G83" t="inlineStr">
        <is>
          <t>KLIPPAN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46266</v>
      </c>
      <c r="F84" t="inlineStr">
        <is>
          <t>SKÅNE LÄN</t>
        </is>
      </c>
      <c r="G84" t="inlineStr">
        <is>
          <t>KLIPPAN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69394-2021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44531</v>
      </c>
      <c r="E85" s="1" t="n">
        <v>46266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46266</v>
      </c>
      <c r="F86" t="inlineStr">
        <is>
          <t>SKÅNE LÄN</t>
        </is>
      </c>
      <c r="G86" t="inlineStr">
        <is>
          <t>KLIPPAN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46266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45328</v>
      </c>
      <c r="E88" s="1" t="n">
        <v>46266</v>
      </c>
      <c r="F88" t="inlineStr">
        <is>
          <t>SKÅNE LÄN</t>
        </is>
      </c>
      <c r="G88" t="inlineStr">
        <is>
          <t>KLIPPAN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34479-2025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45847</v>
      </c>
      <c r="E89" s="1" t="n">
        <v>46266</v>
      </c>
      <c r="F89" t="inlineStr">
        <is>
          <t>SKÅNE LÄN</t>
        </is>
      </c>
      <c r="G89" t="inlineStr">
        <is>
          <t>KLIPPAN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46266</v>
      </c>
      <c r="F90" t="inlineStr">
        <is>
          <t>SKÅNE LÄN</t>
        </is>
      </c>
      <c r="G90" t="inlineStr">
        <is>
          <t>KLIPPAN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46266</v>
      </c>
      <c r="F91" t="inlineStr">
        <is>
          <t>SKÅNE LÄN</t>
        </is>
      </c>
      <c r="G91" t="inlineStr">
        <is>
          <t>KLIPPAN</t>
        </is>
      </c>
      <c r="H91" t="inlineStr">
        <is>
          <t>Övriga Aktiebolag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46266</v>
      </c>
      <c r="F92" t="inlineStr">
        <is>
          <t>SKÅNE LÄN</t>
        </is>
      </c>
      <c r="G92" t="inlineStr">
        <is>
          <t>KLIPPAN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27898-2025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46266</v>
      </c>
      <c r="F93" t="inlineStr">
        <is>
          <t>SKÅNE LÄN</t>
        </is>
      </c>
      <c r="G93" t="inlineStr">
        <is>
          <t>KLIPPAN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46266</v>
      </c>
      <c r="F94" t="inlineStr">
        <is>
          <t>SKÅNE LÄN</t>
        </is>
      </c>
      <c r="G94" t="inlineStr">
        <is>
          <t>KLIPPAN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46266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45094</v>
      </c>
      <c r="E96" s="1" t="n">
        <v>46266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46266</v>
      </c>
      <c r="F97" t="inlineStr">
        <is>
          <t>SKÅNE LÄN</t>
        </is>
      </c>
      <c r="G97" t="inlineStr">
        <is>
          <t>KLIPPAN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44489</v>
      </c>
      <c r="E98" s="1" t="n">
        <v>46266</v>
      </c>
      <c r="F98" t="inlineStr">
        <is>
          <t>SKÅNE LÄN</t>
        </is>
      </c>
      <c r="G98" t="inlineStr">
        <is>
          <t>KLIPPAN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46266</v>
      </c>
      <c r="F99" t="inlineStr">
        <is>
          <t>SKÅNE LÄN</t>
        </is>
      </c>
      <c r="G99" t="inlineStr">
        <is>
          <t>KLIPPAN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46266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29284-2025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45824</v>
      </c>
      <c r="E101" s="1" t="n">
        <v>46266</v>
      </c>
      <c r="F101" t="inlineStr">
        <is>
          <t>SKÅNE LÄN</t>
        </is>
      </c>
      <c r="G101" t="inlineStr">
        <is>
          <t>KLIPPAN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46266</v>
      </c>
      <c r="F102" t="inlineStr">
        <is>
          <t>SKÅNE LÄN</t>
        </is>
      </c>
      <c r="G102" t="inlineStr">
        <is>
          <t>KLIPPAN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46266</v>
      </c>
      <c r="F103" t="inlineStr">
        <is>
          <t>SKÅNE LÄN</t>
        </is>
      </c>
      <c r="G103" t="inlineStr">
        <is>
          <t>KLIPPAN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46266</v>
      </c>
      <c r="F104" t="inlineStr">
        <is>
          <t>SKÅNE LÄN</t>
        </is>
      </c>
      <c r="G104" t="inlineStr">
        <is>
          <t>KLIPPAN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46266</v>
      </c>
      <c r="F105" t="inlineStr">
        <is>
          <t>SKÅNE LÄN</t>
        </is>
      </c>
      <c r="G105" t="inlineStr">
        <is>
          <t>KLIPPAN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45260</v>
      </c>
      <c r="E106" s="1" t="n">
        <v>46266</v>
      </c>
      <c r="F106" t="inlineStr">
        <is>
          <t>SKÅNE LÄN</t>
        </is>
      </c>
      <c r="G106" t="inlineStr">
        <is>
          <t>KLIPPAN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46266</v>
      </c>
      <c r="F107" t="inlineStr">
        <is>
          <t>SKÅNE LÄN</t>
        </is>
      </c>
      <c r="G107" t="inlineStr">
        <is>
          <t>KLIPPAN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45077</v>
      </c>
      <c r="E108" s="1" t="n">
        <v>46266</v>
      </c>
      <c r="F108" t="inlineStr">
        <is>
          <t>SKÅNE LÄN</t>
        </is>
      </c>
      <c r="G108" t="inlineStr">
        <is>
          <t>KLIPPAN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46266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46266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44841</v>
      </c>
      <c r="E111" s="1" t="n">
        <v>46266</v>
      </c>
      <c r="F111" t="inlineStr">
        <is>
          <t>SKÅNE LÄN</t>
        </is>
      </c>
      <c r="G111" t="inlineStr">
        <is>
          <t>KLIPPAN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46266</v>
      </c>
      <c r="F112" t="inlineStr">
        <is>
          <t>SKÅNE LÄN</t>
        </is>
      </c>
      <c r="G112" t="inlineStr">
        <is>
          <t>KLIPPAN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46266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46266</v>
      </c>
      <c r="F114" t="inlineStr">
        <is>
          <t>SKÅNE LÄN</t>
        </is>
      </c>
      <c r="G114" t="inlineStr">
        <is>
          <t>KLIPPAN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45739</v>
      </c>
      <c r="E115" s="1" t="n">
        <v>46266</v>
      </c>
      <c r="F115" t="inlineStr">
        <is>
          <t>SKÅNE LÄN</t>
        </is>
      </c>
      <c r="G115" t="inlineStr">
        <is>
          <t>KLIPPAN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46266</v>
      </c>
      <c r="F116" t="inlineStr">
        <is>
          <t>SKÅNE LÄN</t>
        </is>
      </c>
      <c r="G116" t="inlineStr">
        <is>
          <t>KLIPPAN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46266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46266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46266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46266</v>
      </c>
      <c r="F120" t="inlineStr">
        <is>
          <t>SKÅNE LÄN</t>
        </is>
      </c>
      <c r="G120" t="inlineStr">
        <is>
          <t>KLIPPAN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46266</v>
      </c>
      <c r="F121" t="inlineStr">
        <is>
          <t>SKÅNE LÄN</t>
        </is>
      </c>
      <c r="G121" t="inlineStr">
        <is>
          <t>KLIPPAN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45055</v>
      </c>
      <c r="E122" s="1" t="n">
        <v>46266</v>
      </c>
      <c r="F122" t="inlineStr">
        <is>
          <t>SKÅNE LÄN</t>
        </is>
      </c>
      <c r="G122" t="inlineStr">
        <is>
          <t>KLIPPAN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46266</v>
      </c>
      <c r="F123" t="inlineStr">
        <is>
          <t>SKÅNE LÄN</t>
        </is>
      </c>
      <c r="G123" t="inlineStr">
        <is>
          <t>KLIPPAN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55588-2021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46266</v>
      </c>
      <c r="F124" t="inlineStr">
        <is>
          <t>SKÅNE LÄN</t>
        </is>
      </c>
      <c r="G124" t="inlineStr">
        <is>
          <t>KLIPPAN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46266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46266</v>
      </c>
      <c r="F126" t="inlineStr">
        <is>
          <t>SKÅNE LÄN</t>
        </is>
      </c>
      <c r="G126" t="inlineStr">
        <is>
          <t>KLIPPAN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46266</v>
      </c>
      <c r="F127" t="inlineStr">
        <is>
          <t>SKÅNE LÄN</t>
        </is>
      </c>
      <c r="G127" t="inlineStr">
        <is>
          <t>KLIPPAN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44726</v>
      </c>
      <c r="E128" s="1" t="n">
        <v>46266</v>
      </c>
      <c r="F128" t="inlineStr">
        <is>
          <t>SKÅNE LÄN</t>
        </is>
      </c>
      <c r="G128" t="inlineStr">
        <is>
          <t>KLIPPAN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56089-2021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46266</v>
      </c>
      <c r="F129" t="inlineStr">
        <is>
          <t>SKÅNE LÄN</t>
        </is>
      </c>
      <c r="G129" t="inlineStr">
        <is>
          <t>KLIPPAN</t>
        </is>
      </c>
      <c r="I129" t="n">
        <v>20.9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54348-2022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46266</v>
      </c>
      <c r="F130" t="inlineStr">
        <is>
          <t>SKÅNE LÄN</t>
        </is>
      </c>
      <c r="G130" t="inlineStr">
        <is>
          <t>KLIPPAN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46266</v>
      </c>
      <c r="F131" t="inlineStr">
        <is>
          <t>SKÅNE LÄN</t>
        </is>
      </c>
      <c r="G131" t="inlineStr">
        <is>
          <t>KLIPPAN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46266</v>
      </c>
      <c r="F132" t="inlineStr">
        <is>
          <t>SKÅNE LÄN</t>
        </is>
      </c>
      <c r="G132" t="inlineStr">
        <is>
          <t>KLIPPAN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46266</v>
      </c>
      <c r="F133" t="inlineStr">
        <is>
          <t>SKÅNE LÄN</t>
        </is>
      </c>
      <c r="G133" t="inlineStr">
        <is>
          <t>KLIPPAN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55833-2023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45239</v>
      </c>
      <c r="E134" s="1" t="n">
        <v>46266</v>
      </c>
      <c r="F134" t="inlineStr">
        <is>
          <t>SKÅNE LÄN</t>
        </is>
      </c>
      <c r="G134" t="inlineStr">
        <is>
          <t>KLIPPAN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45055</v>
      </c>
      <c r="E135" s="1" t="n">
        <v>46266</v>
      </c>
      <c r="F135" t="inlineStr">
        <is>
          <t>SKÅNE LÄN</t>
        </is>
      </c>
      <c r="G135" t="inlineStr">
        <is>
          <t>KLIPPAN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45673</v>
      </c>
      <c r="E136" s="1" t="n">
        <v>46266</v>
      </c>
      <c r="F136" t="inlineStr">
        <is>
          <t>SKÅNE LÄN</t>
        </is>
      </c>
      <c r="G136" t="inlineStr">
        <is>
          <t>KLIPPAN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46266</v>
      </c>
      <c r="F137" t="inlineStr">
        <is>
          <t>SKÅNE LÄN</t>
        </is>
      </c>
      <c r="G137" t="inlineStr">
        <is>
          <t>KLIPPAN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46266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46266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28847-2023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45104</v>
      </c>
      <c r="E140" s="1" t="n">
        <v>46266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44659</v>
      </c>
      <c r="E141" s="1" t="n">
        <v>46266</v>
      </c>
      <c r="F141" t="inlineStr">
        <is>
          <t>SKÅNE LÄN</t>
        </is>
      </c>
      <c r="G141" t="inlineStr">
        <is>
          <t>KLIPPAN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46266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46266</v>
      </c>
      <c r="F143" t="inlineStr">
        <is>
          <t>SKÅNE LÄN</t>
        </is>
      </c>
      <c r="G143" t="inlineStr">
        <is>
          <t>KLIPPAN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46266</v>
      </c>
      <c r="F144" t="inlineStr">
        <is>
          <t>SKÅNE LÄN</t>
        </is>
      </c>
      <c r="G144" t="inlineStr">
        <is>
          <t>KLIPPAN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46027</v>
      </c>
      <c r="E145" s="1" t="n">
        <v>46266</v>
      </c>
      <c r="F145" t="inlineStr">
        <is>
          <t>SKÅNE LÄN</t>
        </is>
      </c>
      <c r="G145" t="inlineStr">
        <is>
          <t>KLIPPAN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46728-2023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45198</v>
      </c>
      <c r="E146" s="1" t="n">
        <v>46266</v>
      </c>
      <c r="F146" t="inlineStr">
        <is>
          <t>SKÅNE LÄN</t>
        </is>
      </c>
      <c r="G146" t="inlineStr">
        <is>
          <t>KLIPPAN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46266</v>
      </c>
      <c r="F147" t="inlineStr">
        <is>
          <t>SKÅNE LÄN</t>
        </is>
      </c>
      <c r="G147" t="inlineStr">
        <is>
          <t>KLIPPAN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45320</v>
      </c>
      <c r="E148" s="1" t="n">
        <v>46266</v>
      </c>
      <c r="F148" t="inlineStr">
        <is>
          <t>SKÅNE LÄN</t>
        </is>
      </c>
      <c r="G148" t="inlineStr">
        <is>
          <t>KLIPPAN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46266</v>
      </c>
      <c r="F149" t="inlineStr">
        <is>
          <t>SKÅNE LÄN</t>
        </is>
      </c>
      <c r="G149" t="inlineStr">
        <is>
          <t>KLIPPAN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46266</v>
      </c>
      <c r="F150" t="inlineStr">
        <is>
          <t>SKÅNE LÄN</t>
        </is>
      </c>
      <c r="G150" t="inlineStr">
        <is>
          <t>KLIPPAN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44978</v>
      </c>
      <c r="E151" s="1" t="n">
        <v>46266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46266</v>
      </c>
      <c r="F152" t="inlineStr">
        <is>
          <t>SKÅNE LÄN</t>
        </is>
      </c>
      <c r="G152" t="inlineStr">
        <is>
          <t>KLIPPAN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46266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46266</v>
      </c>
      <c r="F154" t="inlineStr">
        <is>
          <t>SKÅNE LÄN</t>
        </is>
      </c>
      <c r="G154" t="inlineStr">
        <is>
          <t>KLIPPAN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46266</v>
      </c>
      <c r="F155" t="inlineStr">
        <is>
          <t>SKÅNE LÄN</t>
        </is>
      </c>
      <c r="G155" t="inlineStr">
        <is>
          <t>KLIPPAN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46266</v>
      </c>
      <c r="F156" t="inlineStr">
        <is>
          <t>SKÅNE LÄN</t>
        </is>
      </c>
      <c r="G156" t="inlineStr">
        <is>
          <t>KLIPPAN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44616</v>
      </c>
      <c r="E157" s="1" t="n">
        <v>46266</v>
      </c>
      <c r="F157" t="inlineStr">
        <is>
          <t>SKÅNE LÄN</t>
        </is>
      </c>
      <c r="G157" t="inlineStr">
        <is>
          <t>KLIPPAN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46266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46266</v>
      </c>
      <c r="F159" t="inlineStr">
        <is>
          <t>SKÅNE LÄN</t>
        </is>
      </c>
      <c r="G159" t="inlineStr">
        <is>
          <t>KLIPPAN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46266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46266</v>
      </c>
      <c r="F161" t="inlineStr">
        <is>
          <t>SKÅNE LÄN</t>
        </is>
      </c>
      <c r="G161" t="inlineStr">
        <is>
          <t>KLIPPAN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46266</v>
      </c>
      <c r="F162" t="inlineStr">
        <is>
          <t>SKÅNE LÄN</t>
        </is>
      </c>
      <c r="G162" t="inlineStr">
        <is>
          <t>KLIPPAN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46266</v>
      </c>
      <c r="F163" t="inlineStr">
        <is>
          <t>SKÅNE LÄN</t>
        </is>
      </c>
      <c r="G163" t="inlineStr">
        <is>
          <t>KLIPPAN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46071</v>
      </c>
      <c r="E164" s="1" t="n">
        <v>46266</v>
      </c>
      <c r="F164" t="inlineStr">
        <is>
          <t>SKÅNE LÄN</t>
        </is>
      </c>
      <c r="G164" t="inlineStr">
        <is>
          <t>KLIPPAN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69041-2021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44529</v>
      </c>
      <c r="E165" s="1" t="n">
        <v>46266</v>
      </c>
      <c r="F165" t="inlineStr">
        <is>
          <t>SKÅNE LÄN</t>
        </is>
      </c>
      <c r="G165" t="inlineStr">
        <is>
          <t>KLIPPAN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45075</v>
      </c>
      <c r="E166" s="1" t="n">
        <v>46266</v>
      </c>
      <c r="F166" t="inlineStr">
        <is>
          <t>SKÅNE LÄN</t>
        </is>
      </c>
      <c r="G166" t="inlineStr">
        <is>
          <t>KLIPPAN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55586-2021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44475</v>
      </c>
      <c r="E167" s="1" t="n">
        <v>46266</v>
      </c>
      <c r="F167" t="inlineStr">
        <is>
          <t>SKÅNE LÄN</t>
        </is>
      </c>
      <c r="G167" t="inlineStr">
        <is>
          <t>KLIPPAN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44988</v>
      </c>
      <c r="E168" s="1" t="n">
        <v>46266</v>
      </c>
      <c r="F168" t="inlineStr">
        <is>
          <t>SKÅNE LÄN</t>
        </is>
      </c>
      <c r="G168" t="inlineStr">
        <is>
          <t>KLIPPAN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46266</v>
      </c>
      <c r="F169" t="inlineStr">
        <is>
          <t>SKÅNE LÄN</t>
        </is>
      </c>
      <c r="G169" t="inlineStr">
        <is>
          <t>KLIPPAN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45013</v>
      </c>
      <c r="E170" s="1" t="n">
        <v>46266</v>
      </c>
      <c r="F170" t="inlineStr">
        <is>
          <t>SKÅNE LÄN</t>
        </is>
      </c>
      <c r="G170" t="inlineStr">
        <is>
          <t>KLIPPAN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46266</v>
      </c>
      <c r="F171" t="inlineStr">
        <is>
          <t>SKÅNE LÄN</t>
        </is>
      </c>
      <c r="G171" t="inlineStr">
        <is>
          <t>KLIPPAN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46266</v>
      </c>
      <c r="F172" t="inlineStr">
        <is>
          <t>SKÅNE LÄN</t>
        </is>
      </c>
      <c r="G172" t="inlineStr">
        <is>
          <t>KLIPPAN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46266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46266</v>
      </c>
      <c r="F174" t="inlineStr">
        <is>
          <t>SKÅNE LÄN</t>
        </is>
      </c>
      <c r="G174" t="inlineStr">
        <is>
          <t>KLIPPAN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46266</v>
      </c>
      <c r="F175" t="inlineStr">
        <is>
          <t>SKÅNE LÄN</t>
        </is>
      </c>
      <c r="G175" t="inlineStr">
        <is>
          <t>KLIPPAN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45641-2022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44845</v>
      </c>
      <c r="E176" s="1" t="n">
        <v>46266</v>
      </c>
      <c r="F176" t="inlineStr">
        <is>
          <t>SKÅNE LÄN</t>
        </is>
      </c>
      <c r="G176" t="inlineStr">
        <is>
          <t>KLIPPAN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45442</v>
      </c>
      <c r="E177" s="1" t="n">
        <v>46266</v>
      </c>
      <c r="F177" t="inlineStr">
        <is>
          <t>SKÅNE LÄN</t>
        </is>
      </c>
      <c r="G177" t="inlineStr">
        <is>
          <t>KLIPPAN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46266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45260</v>
      </c>
      <c r="E179" s="1" t="n">
        <v>46266</v>
      </c>
      <c r="F179" t="inlineStr">
        <is>
          <t>SKÅNE LÄN</t>
        </is>
      </c>
      <c r="G179" t="inlineStr">
        <is>
          <t>KLIPPAN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46266</v>
      </c>
      <c r="F180" t="inlineStr">
        <is>
          <t>SKÅNE LÄN</t>
        </is>
      </c>
      <c r="G180" t="inlineStr">
        <is>
          <t>KLIPPAN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46266</v>
      </c>
      <c r="F181" t="inlineStr">
        <is>
          <t>SKÅNE LÄN</t>
        </is>
      </c>
      <c r="G181" t="inlineStr">
        <is>
          <t>KLIPPAN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46266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46266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44993</v>
      </c>
      <c r="E184" s="1" t="n">
        <v>46266</v>
      </c>
      <c r="F184" t="inlineStr">
        <is>
          <t>SKÅNE LÄN</t>
        </is>
      </c>
      <c r="G184" t="inlineStr">
        <is>
          <t>KLIPPAN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46266</v>
      </c>
      <c r="F185" t="inlineStr">
        <is>
          <t>SKÅNE LÄN</t>
        </is>
      </c>
      <c r="G185" t="inlineStr">
        <is>
          <t>KLIPPAN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44593</v>
      </c>
      <c r="E186" s="1" t="n">
        <v>46266</v>
      </c>
      <c r="F186" t="inlineStr">
        <is>
          <t>SKÅNE LÄN</t>
        </is>
      </c>
      <c r="G186" t="inlineStr">
        <is>
          <t>KLIPPAN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45077</v>
      </c>
      <c r="E187" s="1" t="n">
        <v>46266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46266</v>
      </c>
      <c r="F188" t="inlineStr">
        <is>
          <t>SKÅNE LÄN</t>
        </is>
      </c>
      <c r="G188" t="inlineStr">
        <is>
          <t>KLIPPAN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46266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44855</v>
      </c>
      <c r="E190" s="1" t="n">
        <v>46266</v>
      </c>
      <c r="F190" t="inlineStr">
        <is>
          <t>SKÅNE LÄN</t>
        </is>
      </c>
      <c r="G190" t="inlineStr">
        <is>
          <t>KLIPPAN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46266</v>
      </c>
      <c r="F191" t="inlineStr">
        <is>
          <t>SKÅNE LÄN</t>
        </is>
      </c>
      <c r="G191" t="inlineStr">
        <is>
          <t>KLIPPAN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44901</v>
      </c>
      <c r="E192" s="1" t="n">
        <v>46266</v>
      </c>
      <c r="F192" t="inlineStr">
        <is>
          <t>SKÅNE LÄN</t>
        </is>
      </c>
      <c r="G192" t="inlineStr">
        <is>
          <t>KLIPPAN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46266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46266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46266</v>
      </c>
      <c r="F195" t="inlineStr">
        <is>
          <t>SKÅNE LÄN</t>
        </is>
      </c>
      <c r="G195" t="inlineStr">
        <is>
          <t>KLIPPAN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46266</v>
      </c>
      <c r="F196" t="inlineStr">
        <is>
          <t>SKÅNE LÄN</t>
        </is>
      </c>
      <c r="G196" t="inlineStr">
        <is>
          <t>KLIPPAN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46266</v>
      </c>
      <c r="F197" t="inlineStr">
        <is>
          <t>SKÅNE LÄN</t>
        </is>
      </c>
      <c r="G197" t="inlineStr">
        <is>
          <t>KLIPPAN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46266</v>
      </c>
      <c r="F198" t="inlineStr">
        <is>
          <t>SKÅNE LÄN</t>
        </is>
      </c>
      <c r="G198" t="inlineStr">
        <is>
          <t>KLIPPAN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45442</v>
      </c>
      <c r="E199" s="1" t="n">
        <v>46266</v>
      </c>
      <c r="F199" t="inlineStr">
        <is>
          <t>SKÅNE LÄN</t>
        </is>
      </c>
      <c r="G199" t="inlineStr">
        <is>
          <t>KLIPPAN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46266</v>
      </c>
      <c r="F200" t="inlineStr">
        <is>
          <t>SKÅNE LÄN</t>
        </is>
      </c>
      <c r="G200" t="inlineStr">
        <is>
          <t>KLIPPAN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46266</v>
      </c>
      <c r="F201" t="inlineStr">
        <is>
          <t>SKÅNE LÄN</t>
        </is>
      </c>
      <c r="G201" t="inlineStr">
        <is>
          <t>KLIPPAN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46266</v>
      </c>
      <c r="F202" t="inlineStr">
        <is>
          <t>SKÅNE LÄN</t>
        </is>
      </c>
      <c r="G202" t="inlineStr">
        <is>
          <t>KLIPPAN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46150</v>
      </c>
      <c r="E203" s="1" t="n">
        <v>46266</v>
      </c>
      <c r="F203" t="inlineStr">
        <is>
          <t>SKÅNE LÄN</t>
        </is>
      </c>
      <c r="G203" t="inlineStr">
        <is>
          <t>KLIPPAN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46266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63499-2025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46266</v>
      </c>
      <c r="F205" t="inlineStr">
        <is>
          <t>SKÅNE LÄN</t>
        </is>
      </c>
      <c r="G205" t="inlineStr">
        <is>
          <t>KLIPPAN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45055</v>
      </c>
      <c r="E206" s="1" t="n">
        <v>46266</v>
      </c>
      <c r="F206" t="inlineStr">
        <is>
          <t>SKÅNE LÄN</t>
        </is>
      </c>
      <c r="G206" t="inlineStr">
        <is>
          <t>KLIPPAN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52877-2022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44875</v>
      </c>
      <c r="E207" s="1" t="n">
        <v>46266</v>
      </c>
      <c r="F207" t="inlineStr">
        <is>
          <t>SKÅNE LÄN</t>
        </is>
      </c>
      <c r="G207" t="inlineStr">
        <is>
          <t>KLIPPAN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44992</v>
      </c>
      <c r="E208" s="1" t="n">
        <v>46266</v>
      </c>
      <c r="F208" t="inlineStr">
        <is>
          <t>SKÅNE LÄN</t>
        </is>
      </c>
      <c r="G208" t="inlineStr">
        <is>
          <t>KLIPPAN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64224-2023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45279</v>
      </c>
      <c r="E209" s="1" t="n">
        <v>46266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46266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46266</v>
      </c>
      <c r="F211" t="inlineStr">
        <is>
          <t>SKÅNE LÄN</t>
        </is>
      </c>
      <c r="G211" t="inlineStr">
        <is>
          <t>KLIPPAN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46266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68856-2021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46266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46266</v>
      </c>
      <c r="F214" t="inlineStr">
        <is>
          <t>SKÅNE LÄN</t>
        </is>
      </c>
      <c r="G214" t="inlineStr">
        <is>
          <t>KLIPPAN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45199</v>
      </c>
      <c r="E215" s="1" t="n">
        <v>46266</v>
      </c>
      <c r="F215" t="inlineStr">
        <is>
          <t>SKÅNE LÄN</t>
        </is>
      </c>
      <c r="G215" t="inlineStr">
        <is>
          <t>KLIPPAN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44593</v>
      </c>
      <c r="E216" s="1" t="n">
        <v>46266</v>
      </c>
      <c r="F216" t="inlineStr">
        <is>
          <t>SKÅNE LÄN</t>
        </is>
      </c>
      <c r="G216" t="inlineStr">
        <is>
          <t>KLIPPAN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46253-2024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46266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46266</v>
      </c>
      <c r="F218" t="inlineStr">
        <is>
          <t>SKÅNE LÄN</t>
        </is>
      </c>
      <c r="G218" t="inlineStr">
        <is>
          <t>KLIPPAN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46266</v>
      </c>
      <c r="F219" t="inlineStr">
        <is>
          <t>SKÅNE LÄN</t>
        </is>
      </c>
      <c r="G219" t="inlineStr">
        <is>
          <t>KLIPPAN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44722</v>
      </c>
      <c r="E220" s="1" t="n">
        <v>46266</v>
      </c>
      <c r="F220" t="inlineStr">
        <is>
          <t>SKÅNE LÄN</t>
        </is>
      </c>
      <c r="G220" t="inlineStr">
        <is>
          <t>KLIPPAN</t>
        </is>
      </c>
      <c r="I220" t="n">
        <v>9.699999999999999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45404</v>
      </c>
      <c r="E221" s="1" t="n">
        <v>46266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46266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55587-2021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44475</v>
      </c>
      <c r="E223" s="1" t="n">
        <v>46266</v>
      </c>
      <c r="F223" t="inlineStr">
        <is>
          <t>SKÅNE LÄN</t>
        </is>
      </c>
      <c r="G223" t="inlineStr">
        <is>
          <t>KLIPPAN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46266</v>
      </c>
      <c r="F224" t="inlineStr">
        <is>
          <t>SKÅNE LÄN</t>
        </is>
      </c>
      <c r="G224" t="inlineStr">
        <is>
          <t>KLIPPAN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46266</v>
      </c>
      <c r="F225" t="inlineStr">
        <is>
          <t>SKÅNE LÄN</t>
        </is>
      </c>
      <c r="G225" t="inlineStr">
        <is>
          <t>KLIPPAN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46266</v>
      </c>
      <c r="F226" t="inlineStr">
        <is>
          <t>SKÅNE LÄN</t>
        </is>
      </c>
      <c r="G226" t="inlineStr">
        <is>
          <t>KLIPPAN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46266</v>
      </c>
      <c r="F227" t="inlineStr">
        <is>
          <t>SKÅNE LÄN</t>
        </is>
      </c>
      <c r="G227" t="inlineStr">
        <is>
          <t>KLIPPAN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45099</v>
      </c>
      <c r="E228" s="1" t="n">
        <v>46266</v>
      </c>
      <c r="F228" t="inlineStr">
        <is>
          <t>SKÅNE LÄN</t>
        </is>
      </c>
      <c r="G228" t="inlineStr">
        <is>
          <t>KLIPPAN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46266</v>
      </c>
      <c r="F229" t="inlineStr">
        <is>
          <t>SKÅNE LÄN</t>
        </is>
      </c>
      <c r="G229" t="inlineStr">
        <is>
          <t>KLIPPAN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46266</v>
      </c>
      <c r="F230" t="inlineStr">
        <is>
          <t>SKÅNE LÄN</t>
        </is>
      </c>
      <c r="G230" t="inlineStr">
        <is>
          <t>KLIPPAN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46266</v>
      </c>
      <c r="F231" t="inlineStr">
        <is>
          <t>SKÅNE LÄN</t>
        </is>
      </c>
      <c r="G231" t="inlineStr">
        <is>
          <t>KLIPPAN</t>
        </is>
      </c>
      <c r="H231" t="inlineStr">
        <is>
          <t>Övriga Aktiebolag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46266</v>
      </c>
      <c r="F232" t="inlineStr">
        <is>
          <t>SKÅNE LÄN</t>
        </is>
      </c>
      <c r="G232" t="inlineStr">
        <is>
          <t>KLIPPAN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22202-2023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46266</v>
      </c>
      <c r="F233" t="inlineStr">
        <is>
          <t>SKÅNE LÄN</t>
        </is>
      </c>
      <c r="G233" t="inlineStr">
        <is>
          <t>KLIPPAN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46223</v>
      </c>
      <c r="E234" s="1" t="n">
        <v>46266</v>
      </c>
      <c r="F234" t="inlineStr">
        <is>
          <t>SKÅNE LÄN</t>
        </is>
      </c>
      <c r="G234" t="inlineStr">
        <is>
          <t>KLIPPAN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20012-2022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44697</v>
      </c>
      <c r="E235" s="1" t="n">
        <v>46266</v>
      </c>
      <c r="F235" t="inlineStr">
        <is>
          <t>SKÅNE LÄN</t>
        </is>
      </c>
      <c r="G235" t="inlineStr">
        <is>
          <t>KLIPPAN</t>
        </is>
      </c>
      <c r="I235" t="n">
        <v>17.2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45751</v>
      </c>
      <c r="E236" s="1" t="n">
        <v>46266</v>
      </c>
      <c r="F236" t="inlineStr">
        <is>
          <t>SKÅNE LÄN</t>
        </is>
      </c>
      <c r="G236" t="inlineStr">
        <is>
          <t>KLIPPAN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45275</v>
      </c>
      <c r="E237" s="1" t="n">
        <v>46266</v>
      </c>
      <c r="F237" t="inlineStr">
        <is>
          <t>SKÅNE LÄN</t>
        </is>
      </c>
      <c r="G237" t="inlineStr">
        <is>
          <t>KLIPPAN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45393</v>
      </c>
      <c r="E238" s="1" t="n">
        <v>46266</v>
      </c>
      <c r="F238" t="inlineStr">
        <is>
          <t>SKÅNE LÄN</t>
        </is>
      </c>
      <c r="G238" t="inlineStr">
        <is>
          <t>KLIPPAN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47869-2022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44855</v>
      </c>
      <c r="E239" s="1" t="n">
        <v>46266</v>
      </c>
      <c r="F239" t="inlineStr">
        <is>
          <t>SKÅNE LÄN</t>
        </is>
      </c>
      <c r="G239" t="inlineStr">
        <is>
          <t>KLIPPAN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46266</v>
      </c>
      <c r="F240" t="inlineStr">
        <is>
          <t>SKÅNE LÄN</t>
        </is>
      </c>
      <c r="G240" t="inlineStr">
        <is>
          <t>KLIPPAN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46266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11.6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46266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45562</v>
      </c>
      <c r="E243" s="1" t="n">
        <v>46266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42284-2024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46266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46266</v>
      </c>
      <c r="F245" t="inlineStr">
        <is>
          <t>SKÅNE LÄN</t>
        </is>
      </c>
      <c r="G245" t="inlineStr">
        <is>
          <t>KLIPPAN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46202</v>
      </c>
      <c r="E246" s="1" t="n">
        <v>46266</v>
      </c>
      <c r="F246" t="inlineStr">
        <is>
          <t>SKÅNE LÄN</t>
        </is>
      </c>
      <c r="G246" t="inlineStr">
        <is>
          <t>KLIPPAN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46266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46266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46251</v>
      </c>
      <c r="E249" s="1" t="n">
        <v>46266</v>
      </c>
      <c r="F249" t="inlineStr">
        <is>
          <t>SKÅNE LÄN</t>
        </is>
      </c>
      <c r="G249" t="inlineStr">
        <is>
          <t>KLIPPAN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46266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46266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46253</v>
      </c>
      <c r="E252" s="1" t="n">
        <v>46266</v>
      </c>
      <c r="F252" t="inlineStr">
        <is>
          <t>SKÅNE LÄN</t>
        </is>
      </c>
      <c r="G252" t="inlineStr">
        <is>
          <t>KLIPPAN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30353-2026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46266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46266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46209</v>
      </c>
      <c r="E255" s="1" t="n">
        <v>46266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46266</v>
      </c>
      <c r="F256" t="inlineStr">
        <is>
          <t>SKÅNE LÄN</t>
        </is>
      </c>
      <c r="G256" t="inlineStr">
        <is>
          <t>KLIPPAN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46162</v>
      </c>
      <c r="E257" s="1" t="n">
        <v>46266</v>
      </c>
      <c r="F257" t="inlineStr">
        <is>
          <t>SKÅNE LÄN</t>
        </is>
      </c>
      <c r="G257" t="inlineStr">
        <is>
          <t>KLIPPAN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46266</v>
      </c>
      <c r="F258" t="inlineStr">
        <is>
          <t>SKÅNE LÄN</t>
        </is>
      </c>
      <c r="G258" t="inlineStr">
        <is>
          <t>KLIPPAN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46216</v>
      </c>
      <c r="E259" s="1" t="n">
        <v>46266</v>
      </c>
      <c r="F259" t="inlineStr">
        <is>
          <t>SKÅNE LÄN</t>
        </is>
      </c>
      <c r="G259" t="inlineStr">
        <is>
          <t>KLIPPAN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46266</v>
      </c>
      <c r="F260" t="inlineStr">
        <is>
          <t>SKÅNE LÄN</t>
        </is>
      </c>
      <c r="G260" t="inlineStr">
        <is>
          <t>KLIPPAN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46266</v>
      </c>
      <c r="F261" t="inlineStr">
        <is>
          <t>SKÅNE LÄN</t>
        </is>
      </c>
      <c r="G261" t="inlineStr">
        <is>
          <t>KLIPPAN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46266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46266</v>
      </c>
      <c r="F263" t="inlineStr">
        <is>
          <t>SKÅNE LÄN</t>
        </is>
      </c>
      <c r="G263" t="inlineStr">
        <is>
          <t>KLIPPAN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46266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3541-2023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45209</v>
      </c>
      <c r="E265" s="1" t="n">
        <v>46266</v>
      </c>
      <c r="F265" t="inlineStr">
        <is>
          <t>SKÅNE LÄN</t>
        </is>
      </c>
      <c r="G265" t="inlineStr">
        <is>
          <t>KLIPPAN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5970-2022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44858</v>
      </c>
      <c r="E266" s="1" t="n">
        <v>46266</v>
      </c>
      <c r="F266" t="inlineStr">
        <is>
          <t>SKÅNE LÄN</t>
        </is>
      </c>
      <c r="G266" t="inlineStr">
        <is>
          <t>KLIPPAN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116-2023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44936</v>
      </c>
      <c r="E267" s="1" t="n">
        <v>46266</v>
      </c>
      <c r="F267" t="inlineStr">
        <is>
          <t>SKÅNE LÄN</t>
        </is>
      </c>
      <c r="G267" t="inlineStr">
        <is>
          <t>KLIPPAN</t>
        </is>
      </c>
      <c r="I267" t="n">
        <v>51.8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525-2024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45348</v>
      </c>
      <c r="E268" s="1" t="n">
        <v>46266</v>
      </c>
      <c r="F268" t="inlineStr">
        <is>
          <t>SKÅNE LÄN</t>
        </is>
      </c>
      <c r="G268" t="inlineStr">
        <is>
          <t>KLIPPAN</t>
        </is>
      </c>
      <c r="I268" t="n">
        <v>22.3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46266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46266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3796-2024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46266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3804-2024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46266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704-2022</t>
        </is>
      </c>
      <c r="B273" t="inlineStr">
        <is>
          <t>samrådsanmälan</t>
        </is>
      </c>
      <c r="C273" t="inlineStr">
        <is>
          <t>Skogsbilväg</t>
        </is>
      </c>
      <c r="D273" s="1" t="n">
        <v>44599</v>
      </c>
      <c r="E273" s="1" t="n">
        <v>46266</v>
      </c>
      <c r="F273" t="inlineStr">
        <is>
          <t>SKÅNE LÄN</t>
        </is>
      </c>
      <c r="G273" t="inlineStr">
        <is>
          <t>KLIPPAN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2678-2022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46266</v>
      </c>
      <c r="F274" t="inlineStr">
        <is>
          <t>SKÅNE LÄN</t>
        </is>
      </c>
      <c r="G274" t="inlineStr">
        <is>
          <t>KLIPPAN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46266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46266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46266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46266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46266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46266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46266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46266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46266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46266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46266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46266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46266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46266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46266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46266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46266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2026-09-01T02:07:57Z</dcterms:created>
  <dcterms:modified xmlns:dcterms="http://purl.org/dc/terms/" xmlns:xsi="http://www.w3.org/2001/XMLSchema-instance" xsi:type="dcterms:W3CDTF">2026-09-01T02:07:57Z</dcterms:modified>
</cp:coreProperties>
</file>