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V2">
        <f>HYPERLINK("https://klasma.github.io/Logging_1276/artfynd/A 2762-2024 artfynd.xlsx", "A 2762-2024")</f>
        <v/>
      </c>
      <c r="W2">
        <f>HYPERLINK("https://klasma.github.io/Logging_1276/kartor/A 2762-2024 karta.png", "A 2762-2024")</f>
        <v/>
      </c>
      <c r="Y2">
        <f>HYPERLINK("https://klasma.github.io/Logging_1276/klagomål/A 2762-2024 FSC-klagomål.docx", "A 2762-2024")</f>
        <v/>
      </c>
      <c r="Z2">
        <f>HYPERLINK("https://klasma.github.io/Logging_1276/klagomålsmail/A 2762-2024 FSC-klagomål mail.docx", "A 2762-2024")</f>
        <v/>
      </c>
      <c r="AA2">
        <f>HYPERLINK("https://klasma.github.io/Logging_1276/tillsyn/A 2762-2024 tillsynsbegäran.docx", "A 2762-2024")</f>
        <v/>
      </c>
      <c r="AB2">
        <f>HYPERLINK("https://klasma.github.io/Logging_1276/tillsynsmail/A 2762-2024 tillsynsbegäran mail.docx", "A 2762-2024")</f>
        <v/>
      </c>
      <c r="AC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s="2" t="inlineStr">
        <is>
          <t>Grönfink
Entita
Gulsparv
Mindre hackspett
Rödvingetrast
Talltita
Spillkråka
Stjärtmes
Gröngöling
Grönsiska
Kungsfågel
Skogsduva</t>
        </is>
      </c>
      <c r="V3">
        <f>HYPERLINK("https://klasma.github.io/Logging_1276/artfynd/A 53614-2025 artfynd.xlsx", "A 53614-2025")</f>
        <v/>
      </c>
      <c r="W3">
        <f>HYPERLINK("https://klasma.github.io/Logging_1276/kartor/A 53614-2025 karta.png", "A 53614-2025")</f>
        <v/>
      </c>
      <c r="Y3">
        <f>HYPERLINK("https://klasma.github.io/Logging_1276/klagomål/A 53614-2025 FSC-klagomål.docx", "A 53614-2025")</f>
        <v/>
      </c>
      <c r="Z3">
        <f>HYPERLINK("https://klasma.github.io/Logging_1276/klagomålsmail/A 53614-2025 FSC-klagomål mail.docx", "A 53614-2025")</f>
        <v/>
      </c>
      <c r="AA3">
        <f>HYPERLINK("https://klasma.github.io/Logging_1276/tillsyn/A 53614-2025 tillsynsbegäran.docx", "A 53614-2025")</f>
        <v/>
      </c>
      <c r="AB3">
        <f>HYPERLINK("https://klasma.github.io/Logging_1276/tillsynsmail/A 53614-2025 tillsynsbegäran mail.docx", "A 53614-2025")</f>
        <v/>
      </c>
      <c r="AC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s="2" t="inlineStr">
        <is>
          <t>Bokkantlav
Stiftklotterlav
Talltita
Glansfläck
Skriftlav
Spillkråka
Kungsfågel
Vanlig padda</t>
        </is>
      </c>
      <c r="V4">
        <f>HYPERLINK("https://klasma.github.io/Logging_1276/artfynd/S 1105-2024 artfynd.xlsx", "S 1105-2024")</f>
        <v/>
      </c>
      <c r="W4">
        <f>HYPERLINK("https://klasma.github.io/Logging_1276/kartor/S 1105-2024 karta.png", "S 1105-2024")</f>
        <v/>
      </c>
      <c r="Y4">
        <f>HYPERLINK("https://klasma.github.io/Logging_1276/klagomål/S 1105-2024 FSC-klagomål.docx", "S 1105-2024")</f>
        <v/>
      </c>
      <c r="Z4">
        <f>HYPERLINK("https://klasma.github.io/Logging_1276/klagomålsmail/S 1105-2024 FSC-klagomål mail.docx", "S 1105-2024")</f>
        <v/>
      </c>
      <c r="AA4">
        <f>HYPERLINK("https://klasma.github.io/Logging_1276/tillsyn/S 1105-2024 tillsynsbegäran.docx", "S 1105-2024")</f>
        <v/>
      </c>
      <c r="AB4">
        <f>HYPERLINK("https://klasma.github.io/Logging_1276/tillsynsmail/S 1105-2024 tillsynsbegäran mail.docx", "S 1105-2024")</f>
        <v/>
      </c>
      <c r="AC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46220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s="2" t="inlineStr">
        <is>
          <t>Entita
Gullpudra
Gulsparv
Rödvingetrast
Spillkråka
Kungsfågel
Skogsduva</t>
        </is>
      </c>
      <c r="V5">
        <f>HYPERLINK("https://klasma.github.io/Logging_1276/artfynd/A 15794-2026 artfynd.xlsx", "A 15794-2026")</f>
        <v/>
      </c>
      <c r="W5">
        <f>HYPERLINK("https://klasma.github.io/Logging_1276/kartor/A 15794-2026 karta.png", "A 15794-2026")</f>
        <v/>
      </c>
      <c r="Y5">
        <f>HYPERLINK("https://klasma.github.io/Logging_1276/klagomål/A 15794-2026 FSC-klagomål.docx", "A 15794-2026")</f>
        <v/>
      </c>
      <c r="Z5">
        <f>HYPERLINK("https://klasma.github.io/Logging_1276/klagomålsmail/A 15794-2026 FSC-klagomål mail.docx", "A 15794-2026")</f>
        <v/>
      </c>
      <c r="AA5">
        <f>HYPERLINK("https://klasma.github.io/Logging_1276/tillsyn/A 15794-2026 tillsynsbegäran.docx", "A 15794-2026")</f>
        <v/>
      </c>
      <c r="AB5">
        <f>HYPERLINK("https://klasma.github.io/Logging_1276/tillsynsmail/A 15794-2026 tillsynsbegäran mail.docx", "A 15794-2026")</f>
        <v/>
      </c>
      <c r="AC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46220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s="2" t="inlineStr">
        <is>
          <t>Entita
Gulsparv
Mindre hackspett
Kambräken
Grönsiska
Kungsfågel
Röd glada</t>
        </is>
      </c>
      <c r="V6">
        <f>HYPERLINK("https://klasma.github.io/Logging_1276/artfynd/A 28917-2026 artfynd.xlsx", "A 28917-2026")</f>
        <v/>
      </c>
      <c r="W6">
        <f>HYPERLINK("https://klasma.github.io/Logging_1276/kartor/A 28917-2026 karta.png", "A 28917-2026")</f>
        <v/>
      </c>
      <c r="Y6">
        <f>HYPERLINK("https://klasma.github.io/Logging_1276/klagomål/A 28917-2026 FSC-klagomål.docx", "A 28917-2026")</f>
        <v/>
      </c>
      <c r="Z6">
        <f>HYPERLINK("https://klasma.github.io/Logging_1276/klagomålsmail/A 28917-2026 FSC-klagomål mail.docx", "A 28917-2026")</f>
        <v/>
      </c>
      <c r="AA6">
        <f>HYPERLINK("https://klasma.github.io/Logging_1276/tillsyn/A 28917-2026 tillsynsbegäran.docx", "A 28917-2026")</f>
        <v/>
      </c>
      <c r="AB6">
        <f>HYPERLINK("https://klasma.github.io/Logging_1276/tillsynsmail/A 28917-2026 tillsynsbegäran mail.docx", "A 28917-2026")</f>
        <v/>
      </c>
      <c r="AC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s="2" t="inlineStr">
        <is>
          <t>Grönsiska
Röd glada
Större vattensalamander
Trana
Vanlig padda</t>
        </is>
      </c>
      <c r="V7">
        <f>HYPERLINK("https://klasma.github.io/Logging_1276/artfynd/A 37966-2024 artfynd.xlsx", "A 37966-2024")</f>
        <v/>
      </c>
      <c r="W7">
        <f>HYPERLINK("https://klasma.github.io/Logging_1276/kartor/A 37966-2024 karta.png", "A 37966-2024")</f>
        <v/>
      </c>
      <c r="Y7">
        <f>HYPERLINK("https://klasma.github.io/Logging_1276/klagomål/A 37966-2024 FSC-klagomål.docx", "A 37966-2024")</f>
        <v/>
      </c>
      <c r="Z7">
        <f>HYPERLINK("https://klasma.github.io/Logging_1276/klagomålsmail/A 37966-2024 FSC-klagomål mail.docx", "A 37966-2024")</f>
        <v/>
      </c>
      <c r="AA7">
        <f>HYPERLINK("https://klasma.github.io/Logging_1276/tillsyn/A 37966-2024 tillsynsbegäran.docx", "A 37966-2024")</f>
        <v/>
      </c>
      <c r="AB7">
        <f>HYPERLINK("https://klasma.github.io/Logging_1276/tillsynsmail/A 37966-2024 tillsynsbegäran mail.docx", "A 37966-2024")</f>
        <v/>
      </c>
      <c r="AC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s="2" t="inlineStr">
        <is>
          <t>Entita
Gulsparv
Rödvingetrast
Spillkråka
Skogsduva</t>
        </is>
      </c>
      <c r="V8">
        <f>HYPERLINK("https://klasma.github.io/Logging_1276/artfynd/A 15788-2026 artfynd.xlsx", "A 15788-2026")</f>
        <v/>
      </c>
      <c r="W8">
        <f>HYPERLINK("https://klasma.github.io/Logging_1276/kartor/A 15788-2026 karta.png", "A 15788-2026")</f>
        <v/>
      </c>
      <c r="Y8">
        <f>HYPERLINK("https://klasma.github.io/Logging_1276/klagomål/A 15788-2026 FSC-klagomål.docx", "A 15788-2026")</f>
        <v/>
      </c>
      <c r="Z8">
        <f>HYPERLINK("https://klasma.github.io/Logging_1276/klagomålsmail/A 15788-2026 FSC-klagomål mail.docx", "A 15788-2026")</f>
        <v/>
      </c>
      <c r="AA8">
        <f>HYPERLINK("https://klasma.github.io/Logging_1276/tillsyn/A 15788-2026 tillsynsbegäran.docx", "A 15788-2026")</f>
        <v/>
      </c>
      <c r="AB8">
        <f>HYPERLINK("https://klasma.github.io/Logging_1276/tillsynsmail/A 15788-2026 tillsynsbegäran mail.docx", "A 15788-2026")</f>
        <v/>
      </c>
      <c r="AC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46220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s="2" t="inlineStr">
        <is>
          <t>Mindre hackspett
Större vattensalamander
Vanlig groda
Vanlig padda
Grönvit nattviol</t>
        </is>
      </c>
      <c r="V9">
        <f>HYPERLINK("https://klasma.github.io/Logging_1276/artfynd/S 221-2023 artfynd.xlsx", "S 221-2023")</f>
        <v/>
      </c>
      <c r="W9">
        <f>HYPERLINK("https://klasma.github.io/Logging_1276/kartor/S 221-2023 karta.png", "S 221-2023")</f>
        <v/>
      </c>
      <c r="Y9">
        <f>HYPERLINK("https://klasma.github.io/Logging_1276/klagomål/S 221-2023 FSC-klagomål.docx", "S 221-2023")</f>
        <v/>
      </c>
      <c r="Z9">
        <f>HYPERLINK("https://klasma.github.io/Logging_1276/klagomålsmail/S 221-2023 FSC-klagomål mail.docx", "S 221-2023")</f>
        <v/>
      </c>
      <c r="AA9">
        <f>HYPERLINK("https://klasma.github.io/Logging_1276/tillsyn/S 221-2023 tillsynsbegäran.docx", "S 221-2023")</f>
        <v/>
      </c>
      <c r="AB9">
        <f>HYPERLINK("https://klasma.github.io/Logging_1276/tillsynsmail/S 221-2023 tillsynsbegäran mail.docx", "S 221-2023")</f>
        <v/>
      </c>
      <c r="AC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46220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Spillkråka
Gröngöling
Kungsfågel
Skogsduva</t>
        </is>
      </c>
      <c r="V10">
        <f>HYPERLINK("https://klasma.github.io/Logging_1276/artfynd/A 42004-2025 artfynd.xlsx", "A 42004-2025")</f>
        <v/>
      </c>
      <c r="W10">
        <f>HYPERLINK("https://klasma.github.io/Logging_1276/kartor/A 42004-2025 karta.png", "A 42004-2025")</f>
        <v/>
      </c>
      <c r="Y10">
        <f>HYPERLINK("https://klasma.github.io/Logging_1276/klagomål/A 42004-2025 FSC-klagomål.docx", "A 42004-2025")</f>
        <v/>
      </c>
      <c r="Z10">
        <f>HYPERLINK("https://klasma.github.io/Logging_1276/klagomålsmail/A 42004-2025 FSC-klagomål mail.docx", "A 42004-2025")</f>
        <v/>
      </c>
      <c r="AA10">
        <f>HYPERLINK("https://klasma.github.io/Logging_1276/tillsyn/A 42004-2025 tillsynsbegäran.docx", "A 42004-2025")</f>
        <v/>
      </c>
      <c r="AB10">
        <f>HYPERLINK("https://klasma.github.io/Logging_1276/tillsynsmail/A 42004-2025 tillsynsbegäran mail.docx", "A 42004-2025")</f>
        <v/>
      </c>
      <c r="AC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46220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s="2" t="inlineStr">
        <is>
          <t>Rostfläck
Västlig hakmossa
Spillkråka</t>
        </is>
      </c>
      <c r="V11">
        <f>HYPERLINK("https://klasma.github.io/Logging_1276/artfynd/A 46256-2024 artfynd.xlsx", "A 46256-2024")</f>
        <v/>
      </c>
      <c r="W11">
        <f>HYPERLINK("https://klasma.github.io/Logging_1276/kartor/A 46256-2024 karta.png", "A 46256-2024")</f>
        <v/>
      </c>
      <c r="Y11">
        <f>HYPERLINK("https://klasma.github.io/Logging_1276/klagomål/A 46256-2024 FSC-klagomål.docx", "A 46256-2024")</f>
        <v/>
      </c>
      <c r="Z11">
        <f>HYPERLINK("https://klasma.github.io/Logging_1276/klagomålsmail/A 46256-2024 FSC-klagomål mail.docx", "A 46256-2024")</f>
        <v/>
      </c>
      <c r="AA11">
        <f>HYPERLINK("https://klasma.github.io/Logging_1276/tillsyn/A 46256-2024 tillsynsbegäran.docx", "A 46256-2024")</f>
        <v/>
      </c>
      <c r="AB11">
        <f>HYPERLINK("https://klasma.github.io/Logging_1276/tillsynsmail/A 46256-2024 tillsynsbegäran mail.docx", "A 46256-2024")</f>
        <v/>
      </c>
      <c r="AC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46220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Entita
Grönsiska
Kungsfågel</t>
        </is>
      </c>
      <c r="V12">
        <f>HYPERLINK("https://klasma.github.io/Logging_1276/artfynd/A 50089-2023 artfynd.xlsx", "A 50089-2023")</f>
        <v/>
      </c>
      <c r="W12">
        <f>HYPERLINK("https://klasma.github.io/Logging_1276/kartor/A 50089-2023 karta.png", "A 50089-2023")</f>
        <v/>
      </c>
      <c r="Y12">
        <f>HYPERLINK("https://klasma.github.io/Logging_1276/klagomål/A 50089-2023 FSC-klagomål.docx", "A 50089-2023")</f>
        <v/>
      </c>
      <c r="Z12">
        <f>HYPERLINK("https://klasma.github.io/Logging_1276/klagomålsmail/A 50089-2023 FSC-klagomål mail.docx", "A 50089-2023")</f>
        <v/>
      </c>
      <c r="AA12">
        <f>HYPERLINK("https://klasma.github.io/Logging_1276/tillsyn/A 50089-2023 tillsynsbegäran.docx", "A 50089-2023")</f>
        <v/>
      </c>
      <c r="AB12">
        <f>HYPERLINK("https://klasma.github.io/Logging_1276/tillsynsmail/A 50089-2023 tillsynsbegäran mail.docx", "A 50089-2023")</f>
        <v/>
      </c>
      <c r="AC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46220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s="2" t="inlineStr">
        <is>
          <t>Enkelbeckasin
Entita
Gröngöling</t>
        </is>
      </c>
      <c r="V13">
        <f>HYPERLINK("https://klasma.github.io/Logging_1276/artfynd/A 6890-2026 artfynd.xlsx", "A 6890-2026")</f>
        <v/>
      </c>
      <c r="W13">
        <f>HYPERLINK("https://klasma.github.io/Logging_1276/kartor/A 6890-2026 karta.png", "A 6890-2026")</f>
        <v/>
      </c>
      <c r="Y13">
        <f>HYPERLINK("https://klasma.github.io/Logging_1276/klagomål/A 6890-2026 FSC-klagomål.docx", "A 6890-2026")</f>
        <v/>
      </c>
      <c r="Z13">
        <f>HYPERLINK("https://klasma.github.io/Logging_1276/klagomålsmail/A 6890-2026 FSC-klagomål mail.docx", "A 6890-2026")</f>
        <v/>
      </c>
      <c r="AA13">
        <f>HYPERLINK("https://klasma.github.io/Logging_1276/tillsyn/A 6890-2026 tillsynsbegäran.docx", "A 6890-2026")</f>
        <v/>
      </c>
      <c r="AB13">
        <f>HYPERLINK("https://klasma.github.io/Logging_1276/tillsynsmail/A 6890-2026 tillsynsbegäran mail.docx", "A 6890-2026")</f>
        <v/>
      </c>
      <c r="AC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46220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Mindre hackspett
Stjärtmes</t>
        </is>
      </c>
      <c r="V14">
        <f>HYPERLINK("https://klasma.github.io/Logging_1276/artfynd/A 2839-2026 artfynd.xlsx", "A 2839-2026")</f>
        <v/>
      </c>
      <c r="W14">
        <f>HYPERLINK("https://klasma.github.io/Logging_1276/kartor/A 2839-2026 karta.png", "A 2839-2026")</f>
        <v/>
      </c>
      <c r="Y14">
        <f>HYPERLINK("https://klasma.github.io/Logging_1276/klagomål/A 2839-2026 FSC-klagomål.docx", "A 2839-2026")</f>
        <v/>
      </c>
      <c r="Z14">
        <f>HYPERLINK("https://klasma.github.io/Logging_1276/klagomålsmail/A 2839-2026 FSC-klagomål mail.docx", "A 2839-2026")</f>
        <v/>
      </c>
      <c r="AA14">
        <f>HYPERLINK("https://klasma.github.io/Logging_1276/tillsyn/A 2839-2026 tillsynsbegäran.docx", "A 2839-2026")</f>
        <v/>
      </c>
      <c r="AB14">
        <f>HYPERLINK("https://klasma.github.io/Logging_1276/tillsynsmail/A 2839-2026 tillsynsbegäran mail.docx", "A 2839-2026")</f>
        <v/>
      </c>
      <c r="AC14">
        <f>HYPERLINK("https://klasma.github.io/Logging_1276/fåglar/A 2839-2026 prioriterade fågelarter.docx", "A 2839-2026")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46220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s="2" t="inlineStr">
        <is>
          <t>Entita
Gulsparv
Grönvit nattviol</t>
        </is>
      </c>
      <c r="V15">
        <f>HYPERLINK("https://klasma.github.io/Logging_1276/artfynd/A 53878-2022 artfynd.xlsx", "A 53878-2022")</f>
        <v/>
      </c>
      <c r="W15">
        <f>HYPERLINK("https://klasma.github.io/Logging_1276/kartor/A 53878-2022 karta.png", "A 53878-2022")</f>
        <v/>
      </c>
      <c r="Y15">
        <f>HYPERLINK("https://klasma.github.io/Logging_1276/klagomål/A 53878-2022 FSC-klagomål.docx", "A 53878-2022")</f>
        <v/>
      </c>
      <c r="Z15">
        <f>HYPERLINK("https://klasma.github.io/Logging_1276/klagomålsmail/A 53878-2022 FSC-klagomål mail.docx", "A 53878-2022")</f>
        <v/>
      </c>
      <c r="AA15">
        <f>HYPERLINK("https://klasma.github.io/Logging_1276/tillsyn/A 53878-2022 tillsynsbegäran.docx", "A 53878-2022")</f>
        <v/>
      </c>
      <c r="AB15">
        <f>HYPERLINK("https://klasma.github.io/Logging_1276/tillsynsmail/A 53878-2022 tillsynsbegäran mail.docx", "A 53878-2022")</f>
        <v/>
      </c>
      <c r="AC15">
        <f>HYPERLINK("https://klasma.github.io/Logging_1276/fåglar/A 53878-2022 prioriterade fågelarter.docx", "A 53878-2022")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46220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Blåmossa
Spillkråka
Kungsfågel</t>
        </is>
      </c>
      <c r="V16">
        <f>HYPERLINK("https://klasma.github.io/Logging_1276/artfynd/A 45242-2025 artfynd.xlsx", "A 45242-2025")</f>
        <v/>
      </c>
      <c r="W16">
        <f>HYPERLINK("https://klasma.github.io/Logging_1276/kartor/A 45242-2025 karta.png", "A 45242-2025")</f>
        <v/>
      </c>
      <c r="Y16">
        <f>HYPERLINK("https://klasma.github.io/Logging_1276/klagomål/A 45242-2025 FSC-klagomål.docx", "A 45242-2025")</f>
        <v/>
      </c>
      <c r="Z16">
        <f>HYPERLINK("https://klasma.github.io/Logging_1276/klagomålsmail/A 45242-2025 FSC-klagomål mail.docx", "A 45242-2025")</f>
        <v/>
      </c>
      <c r="AA16">
        <f>HYPERLINK("https://klasma.github.io/Logging_1276/tillsyn/A 45242-2025 tillsynsbegäran.docx", "A 45242-2025")</f>
        <v/>
      </c>
      <c r="AB16">
        <f>HYPERLINK("https://klasma.github.io/Logging_1276/tillsynsmail/A 45242-2025 tillsynsbegäran mail.docx", "A 45242-2025")</f>
        <v/>
      </c>
      <c r="AC16">
        <f>HYPERLINK("https://klasma.github.io/Logging_1276/fåglar/A 45242-2025 prioriterade fågelarter.docx", "A 45242-2025")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46220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Havstulpanlav
Spillkråka
Skogsduva</t>
        </is>
      </c>
      <c r="V17">
        <f>HYPERLINK("https://klasma.github.io/Logging_1276/artfynd/A 54644-2023 artfynd.xlsx", "A 54644-2023")</f>
        <v/>
      </c>
      <c r="W17">
        <f>HYPERLINK("https://klasma.github.io/Logging_1276/kartor/A 54644-2023 karta.png", "A 54644-2023")</f>
        <v/>
      </c>
      <c r="Y17">
        <f>HYPERLINK("https://klasma.github.io/Logging_1276/klagomål/A 54644-2023 FSC-klagomål.docx", "A 54644-2023")</f>
        <v/>
      </c>
      <c r="Z17">
        <f>HYPERLINK("https://klasma.github.io/Logging_1276/klagomålsmail/A 54644-2023 FSC-klagomål mail.docx", "A 54644-2023")</f>
        <v/>
      </c>
      <c r="AA17">
        <f>HYPERLINK("https://klasma.github.io/Logging_1276/tillsyn/A 54644-2023 tillsynsbegäran.docx", "A 54644-2023")</f>
        <v/>
      </c>
      <c r="AB17">
        <f>HYPERLINK("https://klasma.github.io/Logging_1276/tillsynsmail/A 54644-2023 tillsynsbegäran mail.docx", "A 54644-2023")</f>
        <v/>
      </c>
      <c r="AC17">
        <f>HYPERLINK("https://klasma.github.io/Logging_1276/fåglar/A 54644-2023 prioriterade fågelarter.docx", "A 54644-2023")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46220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Skogsknipprot
Grönsiska
Kungsfågel</t>
        </is>
      </c>
      <c r="V18">
        <f>HYPERLINK("https://klasma.github.io/Logging_1276/artfynd/S 5972-2022 artfynd.xlsx", "S 5972-2022")</f>
        <v/>
      </c>
      <c r="W18">
        <f>HYPERLINK("https://klasma.github.io/Logging_1276/kartor/S 5972-2022 karta.png", "S 5972-2022")</f>
        <v/>
      </c>
      <c r="Y18">
        <f>HYPERLINK("https://klasma.github.io/Logging_1276/klagomål/S 5972-2022 FSC-klagomål.docx", "S 5972-2022")</f>
        <v/>
      </c>
      <c r="Z18">
        <f>HYPERLINK("https://klasma.github.io/Logging_1276/klagomålsmail/S 5972-2022 FSC-klagomål mail.docx", "S 5972-2022")</f>
        <v/>
      </c>
      <c r="AA18">
        <f>HYPERLINK("https://klasma.github.io/Logging_1276/tillsyn/S 5972-2022 tillsynsbegäran.docx", "S 5972-2022")</f>
        <v/>
      </c>
      <c r="AB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46220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Fläcklungört
Strutbräken</t>
        </is>
      </c>
      <c r="V19">
        <f>HYPERLINK("https://klasma.github.io/Logging_1276/artfynd/A 19094-2022 artfynd.xlsx", "A 19094-2022")</f>
        <v/>
      </c>
      <c r="W19">
        <f>HYPERLINK("https://klasma.github.io/Logging_1276/kartor/A 19094-2022 karta.png", "A 19094-2022")</f>
        <v/>
      </c>
      <c r="Y19">
        <f>HYPERLINK("https://klasma.github.io/Logging_1276/klagomål/A 19094-2022 FSC-klagomål.docx", "A 19094-2022")</f>
        <v/>
      </c>
      <c r="Z19">
        <f>HYPERLINK("https://klasma.github.io/Logging_1276/klagomålsmail/A 19094-2022 FSC-klagomål mail.docx", "A 19094-2022")</f>
        <v/>
      </c>
      <c r="AA19">
        <f>HYPERLINK("https://klasma.github.io/Logging_1276/tillsyn/A 19094-2022 tillsynsbegäran.docx", "A 19094-2022")</f>
        <v/>
      </c>
      <c r="AB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46220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Talltita
Kungsfågel</t>
        </is>
      </c>
      <c r="V20">
        <f>HYPERLINK("https://klasma.github.io/Logging_1276/artfynd/A 5732-2022 artfynd.xlsx", "A 5732-2022")</f>
        <v/>
      </c>
      <c r="W20">
        <f>HYPERLINK("https://klasma.github.io/Logging_1276/kartor/A 5732-2022 karta.png", "A 5732-2022")</f>
        <v/>
      </c>
      <c r="Y20">
        <f>HYPERLINK("https://klasma.github.io/Logging_1276/klagomål/A 5732-2022 FSC-klagomål.docx", "A 5732-2022")</f>
        <v/>
      </c>
      <c r="Z20">
        <f>HYPERLINK("https://klasma.github.io/Logging_1276/klagomålsmail/A 5732-2022 FSC-klagomål mail.docx", "A 5732-2022")</f>
        <v/>
      </c>
      <c r="AA20">
        <f>HYPERLINK("https://klasma.github.io/Logging_1276/tillsyn/A 5732-2022 tillsynsbegäran.docx", "A 5732-2022")</f>
        <v/>
      </c>
      <c r="AB20">
        <f>HYPERLINK("https://klasma.github.io/Logging_1276/tillsynsmail/A 5732-2022 tillsynsbegäran mail.docx", "A 5732-2022")</f>
        <v/>
      </c>
      <c r="AC20">
        <f>HYPERLINK("https://klasma.github.io/Logging_1276/fåglar/A 5732-2022 prioriterade fågelarter.docx", "A 5732-2022")</f>
        <v/>
      </c>
    </row>
    <row r="21" ht="15" customHeight="1">
      <c r="A21" t="inlineStr">
        <is>
          <t>A 5797-2024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46220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Entita
Gröngöling</t>
        </is>
      </c>
      <c r="V21">
        <f>HYPERLINK("https://klasma.github.io/Logging_1276/artfynd/A 5797-2024 artfynd.xlsx", "A 5797-2024")</f>
        <v/>
      </c>
      <c r="W21">
        <f>HYPERLINK("https://klasma.github.io/Logging_1276/kartor/A 5797-2024 karta.png", "A 5797-2024")</f>
        <v/>
      </c>
      <c r="Y21">
        <f>HYPERLINK("https://klasma.github.io/Logging_1276/klagomål/A 5797-2024 FSC-klagomål.docx", "A 5797-2024")</f>
        <v/>
      </c>
      <c r="Z21">
        <f>HYPERLINK("https://klasma.github.io/Logging_1276/klagomålsmail/A 5797-2024 FSC-klagomål mail.docx", "A 5797-2024")</f>
        <v/>
      </c>
      <c r="AA21">
        <f>HYPERLINK("https://klasma.github.io/Logging_1276/tillsyn/A 5797-2024 tillsynsbegäran.docx", "A 5797-2024")</f>
        <v/>
      </c>
      <c r="AB21">
        <f>HYPERLINK("https://klasma.github.io/Logging_1276/tillsynsmail/A 5797-2024 tillsynsbegäran mail.docx", "A 5797-2024")</f>
        <v/>
      </c>
      <c r="AC21">
        <f>HYPERLINK("https://klasma.github.io/Logging_1276/fåglar/A 5797-2024 prioriterade fågelarter.docx", "A 5797-2024")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46220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s="2" t="inlineStr">
        <is>
          <t>Entita
Kungsfågel</t>
        </is>
      </c>
      <c r="V22">
        <f>HYPERLINK("https://klasma.github.io/Logging_1276/artfynd/A 59769-2025 artfynd.xlsx", "A 59769-2025")</f>
        <v/>
      </c>
      <c r="W22">
        <f>HYPERLINK("https://klasma.github.io/Logging_1276/kartor/A 59769-2025 karta.png", "A 59769-2025")</f>
        <v/>
      </c>
      <c r="Y22">
        <f>HYPERLINK("https://klasma.github.io/Logging_1276/klagomål/A 59769-2025 FSC-klagomål.docx", "A 59769-2025")</f>
        <v/>
      </c>
      <c r="Z22">
        <f>HYPERLINK("https://klasma.github.io/Logging_1276/klagomålsmail/A 59769-2025 FSC-klagomål mail.docx", "A 59769-2025")</f>
        <v/>
      </c>
      <c r="AA22">
        <f>HYPERLINK("https://klasma.github.io/Logging_1276/tillsyn/A 59769-2025 tillsynsbegäran.docx", "A 59769-2025")</f>
        <v/>
      </c>
      <c r="AB22">
        <f>HYPERLINK("https://klasma.github.io/Logging_1276/tillsynsmail/A 59769-2025 tillsynsbegäran mail.docx", "A 59769-2025")</f>
        <v/>
      </c>
      <c r="AC22">
        <f>HYPERLINK("https://klasma.github.io/Logging_1276/fåglar/A 59769-2025 prioriterade fågelarter.docx", "A 59769-2025")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46220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Talltita
Vanlig groda</t>
        </is>
      </c>
      <c r="V23">
        <f>HYPERLINK("https://klasma.github.io/Logging_1276/artfynd/A 11673-2022 artfynd.xlsx", "A 11673-2022")</f>
        <v/>
      </c>
      <c r="W23">
        <f>HYPERLINK("https://klasma.github.io/Logging_1276/kartor/A 11673-2022 karta.png", "A 11673-2022")</f>
        <v/>
      </c>
      <c r="Y23">
        <f>HYPERLINK("https://klasma.github.io/Logging_1276/klagomål/A 11673-2022 FSC-klagomål.docx", "A 11673-2022")</f>
        <v/>
      </c>
      <c r="Z23">
        <f>HYPERLINK("https://klasma.github.io/Logging_1276/klagomålsmail/A 11673-2022 FSC-klagomål mail.docx", "A 11673-2022")</f>
        <v/>
      </c>
      <c r="AA23">
        <f>HYPERLINK("https://klasma.github.io/Logging_1276/tillsyn/A 11673-2022 tillsynsbegäran.docx", "A 11673-2022")</f>
        <v/>
      </c>
      <c r="AB23">
        <f>HYPERLINK("https://klasma.github.io/Logging_1276/tillsynsmail/A 11673-2022 tillsynsbegäran mail.docx", "A 11673-2022")</f>
        <v/>
      </c>
      <c r="AC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46220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Kråka</t>
        </is>
      </c>
      <c r="V24">
        <f>HYPERLINK("https://klasma.github.io/Logging_1276/artfynd/A 44567-2025 artfynd.xlsx", "A 44567-2025")</f>
        <v/>
      </c>
      <c r="W24">
        <f>HYPERLINK("https://klasma.github.io/Logging_1276/kartor/A 44567-2025 karta.png", "A 44567-2025")</f>
        <v/>
      </c>
      <c r="Y24">
        <f>HYPERLINK("https://klasma.github.io/Logging_1276/klagomål/A 44567-2025 FSC-klagomål.docx", "A 44567-2025")</f>
        <v/>
      </c>
      <c r="Z24">
        <f>HYPERLINK("https://klasma.github.io/Logging_1276/klagomålsmail/A 44567-2025 FSC-klagomål mail.docx", "A 44567-2025")</f>
        <v/>
      </c>
      <c r="AA24">
        <f>HYPERLINK("https://klasma.github.io/Logging_1276/tillsyn/A 44567-2025 tillsynsbegäran.docx", "A 44567-2025")</f>
        <v/>
      </c>
      <c r="AB24">
        <f>HYPERLINK("https://klasma.github.io/Logging_1276/tillsynsmail/A 44567-2025 tillsynsbegäran mail.docx", "A 44567-2025")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46220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Svinrot
Grönvit nattviol</t>
        </is>
      </c>
      <c r="V25">
        <f>HYPERLINK("https://klasma.github.io/Logging_1276/artfynd/A 20702-2023 artfynd.xlsx", "A 20702-2023")</f>
        <v/>
      </c>
      <c r="W25">
        <f>HYPERLINK("https://klasma.github.io/Logging_1276/kartor/A 20702-2023 karta.png", "A 20702-2023")</f>
        <v/>
      </c>
      <c r="Y25">
        <f>HYPERLINK("https://klasma.github.io/Logging_1276/klagomål/A 20702-2023 FSC-klagomål.docx", "A 20702-2023")</f>
        <v/>
      </c>
      <c r="Z25">
        <f>HYPERLINK("https://klasma.github.io/Logging_1276/klagomålsmail/A 20702-2023 FSC-klagomål mail.docx", "A 20702-2023")</f>
        <v/>
      </c>
      <c r="AA25">
        <f>HYPERLINK("https://klasma.github.io/Logging_1276/tillsyn/A 20702-2023 tillsynsbegäran.docx", "A 20702-2023")</f>
        <v/>
      </c>
      <c r="AB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46220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Mindre hackspett
Blemlavsklotter</t>
        </is>
      </c>
      <c r="V26">
        <f>HYPERLINK("https://klasma.github.io/Logging_1276/artfynd/A 29275-2026 artfynd.xlsx", "A 29275-2026")</f>
        <v/>
      </c>
      <c r="W26">
        <f>HYPERLINK("https://klasma.github.io/Logging_1276/kartor/A 29275-2026 karta.png", "A 29275-2026")</f>
        <v/>
      </c>
      <c r="Y26">
        <f>HYPERLINK("https://klasma.github.io/Logging_1276/klagomål/A 29275-2026 FSC-klagomål.docx", "A 29275-2026")</f>
        <v/>
      </c>
      <c r="Z26">
        <f>HYPERLINK("https://klasma.github.io/Logging_1276/klagomålsmail/A 29275-2026 FSC-klagomål mail.docx", "A 29275-2026")</f>
        <v/>
      </c>
      <c r="AA26">
        <f>HYPERLINK("https://klasma.github.io/Logging_1276/tillsyn/A 29275-2026 tillsynsbegäran.docx", "A 29275-2026")</f>
        <v/>
      </c>
      <c r="AB26">
        <f>HYPERLINK("https://klasma.github.io/Logging_1276/tillsynsmail/A 29275-2026 tillsynsbegäran mail.docx", "A 29275-2026")</f>
        <v/>
      </c>
      <c r="AC26">
        <f>HYPERLINK("https://klasma.github.io/Logging_1276/fåglar/A 29275-2026 prioriterade fågelarter.docx", "A 29275-2026")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46220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Sommarklynne
Silversmygare</t>
        </is>
      </c>
      <c r="V27">
        <f>HYPERLINK("https://klasma.github.io/Logging_1276/artfynd/S 977-2023 artfynd.xlsx", "S 977-2023")</f>
        <v/>
      </c>
      <c r="W27">
        <f>HYPERLINK("https://klasma.github.io/Logging_1276/kartor/S 977-2023 karta.png", "S 977-2023")</f>
        <v/>
      </c>
      <c r="Y27">
        <f>HYPERLINK("https://klasma.github.io/Logging_1276/klagomål/S 977-2023 FSC-klagomål.docx", "S 977-2023")</f>
        <v/>
      </c>
      <c r="Z27">
        <f>HYPERLINK("https://klasma.github.io/Logging_1276/klagomålsmail/S 977-2023 FSC-klagomål mail.docx", "S 977-2023")</f>
        <v/>
      </c>
      <c r="AA27">
        <f>HYPERLINK("https://klasma.github.io/Logging_1276/tillsyn/S 977-2023 tillsynsbegäran.docx", "S 977-2023")</f>
        <v/>
      </c>
      <c r="AB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46220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Mattlummer
Revlummer</t>
        </is>
      </c>
      <c r="V28">
        <f>HYPERLINK("https://klasma.github.io/Logging_1276/artfynd/S 4007-2022 artfynd.xlsx", "S 4007-2022")</f>
        <v/>
      </c>
      <c r="W28">
        <f>HYPERLINK("https://klasma.github.io/Logging_1276/kartor/S 4007-2022 karta.png", "S 4007-2022")</f>
        <v/>
      </c>
      <c r="Y28">
        <f>HYPERLINK("https://klasma.github.io/Logging_1276/klagomål/S 4007-2022 FSC-klagomål.docx", "S 4007-2022")</f>
        <v/>
      </c>
      <c r="Z28">
        <f>HYPERLINK("https://klasma.github.io/Logging_1276/klagomålsmail/S 4007-2022 FSC-klagomål mail.docx", "S 4007-2022")</f>
        <v/>
      </c>
      <c r="AA28">
        <f>HYPERLINK("https://klasma.github.io/Logging_1276/tillsyn/S 4007-2022 tillsynsbegäran.docx", "S 4007-2022")</f>
        <v/>
      </c>
      <c r="AB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46220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Större vattensalamander
Vanlig padda</t>
        </is>
      </c>
      <c r="V29">
        <f>HYPERLINK("https://klasma.github.io/Logging_1276/artfynd/S 47-2026 artfynd.xlsx", "S 47-2026")</f>
        <v/>
      </c>
      <c r="W29">
        <f>HYPERLINK("https://klasma.github.io/Logging_1276/kartor/S 47-2026 karta.png", "S 47-2026")</f>
        <v/>
      </c>
      <c r="Y29">
        <f>HYPERLINK("https://klasma.github.io/Logging_1276/klagomål/S 47-2026 FSC-klagomål.docx", "S 47-2026")</f>
        <v/>
      </c>
      <c r="Z29">
        <f>HYPERLINK("https://klasma.github.io/Logging_1276/klagomålsmail/S 47-2026 FSC-klagomål mail.docx", "S 47-2026")</f>
        <v/>
      </c>
      <c r="AA29">
        <f>HYPERLINK("https://klasma.github.io/Logging_1276/tillsyn/S 47-2026 tillsynsbegäran.docx", "S 47-2026")</f>
        <v/>
      </c>
      <c r="AB29">
        <f>HYPERLINK("https://klasma.github.io/Logging_1276/tillsynsmail/S 47-2026 tillsynsbegäran mail.docx", "S 47-2026")</f>
        <v/>
      </c>
    </row>
    <row r="30" ht="15" customHeight="1">
      <c r="A30" t="inlineStr">
        <is>
          <t>A 14892-2023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46220</v>
      </c>
      <c r="F30" t="inlineStr">
        <is>
          <t>SKÅNE LÄN</t>
        </is>
      </c>
      <c r="G30" t="inlineStr">
        <is>
          <t>KLIPPAN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Mindre hackspett</t>
        </is>
      </c>
      <c r="V30">
        <f>HYPERLINK("https://klasma.github.io/Logging_1276/artfynd/A 14892-2023 artfynd.xlsx", "A 14892-2023")</f>
        <v/>
      </c>
      <c r="W30">
        <f>HYPERLINK("https://klasma.github.io/Logging_1276/kartor/A 14892-2023 karta.png", "A 14892-2023")</f>
        <v/>
      </c>
      <c r="Y30">
        <f>HYPERLINK("https://klasma.github.io/Logging_1276/klagomål/A 14892-2023 FSC-klagomål.docx", "A 14892-2023")</f>
        <v/>
      </c>
      <c r="Z30">
        <f>HYPERLINK("https://klasma.github.io/Logging_1276/klagomålsmail/A 14892-2023 FSC-klagomål mail.docx", "A 14892-2023")</f>
        <v/>
      </c>
      <c r="AA30">
        <f>HYPERLINK("https://klasma.github.io/Logging_1276/tillsyn/A 14892-2023 tillsynsbegäran.docx", "A 14892-2023")</f>
        <v/>
      </c>
      <c r="AB30">
        <f>HYPERLINK("https://klasma.github.io/Logging_1276/tillsynsmail/A 14892-2023 tillsynsbegäran mail.docx", "A 14892-2023")</f>
        <v/>
      </c>
      <c r="AC30">
        <f>HYPERLINK("https://klasma.github.io/Logging_1276/fåglar/A 14892-2023 prioriterade fågelarter.docx", "A 14892-2023")</f>
        <v/>
      </c>
    </row>
    <row r="31" ht="15" customHeight="1">
      <c r="A31" t="inlineStr">
        <is>
          <t>A 6446-2026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46220</v>
      </c>
      <c r="F31" t="inlineStr">
        <is>
          <t>SKÅNE LÄN</t>
        </is>
      </c>
      <c r="G31" t="inlineStr">
        <is>
          <t>KLIPPAN</t>
        </is>
      </c>
      <c r="I31" t="n">
        <v>0.5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Backsippa</t>
        </is>
      </c>
      <c r="V31">
        <f>HYPERLINK("https://klasma.github.io/Logging_1276/artfynd/A 6446-2026 artfynd.xlsx", "A 6446-2026")</f>
        <v/>
      </c>
      <c r="W31">
        <f>HYPERLINK("https://klasma.github.io/Logging_1276/kartor/A 6446-2026 karta.png", "A 6446-2026")</f>
        <v/>
      </c>
      <c r="Y31">
        <f>HYPERLINK("https://klasma.github.io/Logging_1276/klagomål/A 6446-2026 FSC-klagomål.docx", "A 6446-2026")</f>
        <v/>
      </c>
      <c r="Z31">
        <f>HYPERLINK("https://klasma.github.io/Logging_1276/klagomålsmail/A 6446-2026 FSC-klagomål mail.docx", "A 6446-2026")</f>
        <v/>
      </c>
      <c r="AA31">
        <f>HYPERLINK("https://klasma.github.io/Logging_1276/tillsyn/A 6446-2026 tillsynsbegäran.docx", "A 6446-2026")</f>
        <v/>
      </c>
      <c r="AB31">
        <f>HYPERLINK("https://klasma.github.io/Logging_1276/tillsynsmail/A 6446-2026 tillsynsbegäran mail.docx", "A 6446-2026")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46220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HYPERLINK("https://klasma.github.io/Logging_1276/artfynd/A 15810-2024 artfynd.xlsx", "A 15810-2024")</f>
        <v/>
      </c>
      <c r="W32">
        <f>HYPERLINK("https://klasma.github.io/Logging_1276/kartor/A 15810-2024 karta.png", "A 15810-2024")</f>
        <v/>
      </c>
      <c r="Y32">
        <f>HYPERLINK("https://klasma.github.io/Logging_1276/klagomål/A 15810-2024 FSC-klagomål.docx", "A 15810-2024")</f>
        <v/>
      </c>
      <c r="Z32">
        <f>HYPERLINK("https://klasma.github.io/Logging_1276/klagomålsmail/A 15810-2024 FSC-klagomål mail.docx", "A 15810-2024")</f>
        <v/>
      </c>
      <c r="AA32">
        <f>HYPERLINK("https://klasma.github.io/Logging_1276/tillsyn/A 15810-2024 tillsynsbegäran.docx", "A 15810-2024")</f>
        <v/>
      </c>
      <c r="AB32">
        <f>HYPERLINK("https://klasma.github.io/Logging_1276/tillsynsmail/A 15810-2024 tillsynsbegäran mail.docx", "A 15810-2024")</f>
        <v/>
      </c>
    </row>
    <row r="33" ht="15" customHeight="1">
      <c r="A33" t="inlineStr">
        <is>
          <t>A 44885-2022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44841</v>
      </c>
      <c r="E33" s="1" t="n">
        <v>46220</v>
      </c>
      <c r="F33" t="inlineStr">
        <is>
          <t>SKÅNE LÄN</t>
        </is>
      </c>
      <c r="G33" t="inlineStr">
        <is>
          <t>KLIPPAN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Blåmossa</t>
        </is>
      </c>
      <c r="V33">
        <f>HYPERLINK("https://klasma.github.io/Logging_1276/artfynd/A 44885-2022 artfynd.xlsx", "A 44885-2022")</f>
        <v/>
      </c>
      <c r="W33">
        <f>HYPERLINK("https://klasma.github.io/Logging_1276/kartor/A 44885-2022 karta.png", "A 44885-2022")</f>
        <v/>
      </c>
      <c r="Y33">
        <f>HYPERLINK("https://klasma.github.io/Logging_1276/klagomål/A 44885-2022 FSC-klagomål.docx", "A 44885-2022")</f>
        <v/>
      </c>
      <c r="Z33">
        <f>HYPERLINK("https://klasma.github.io/Logging_1276/klagomålsmail/A 44885-2022 FSC-klagomål mail.docx", "A 44885-2022")</f>
        <v/>
      </c>
      <c r="AA33">
        <f>HYPERLINK("https://klasma.github.io/Logging_1276/tillsyn/A 44885-2022 tillsynsbegäran.docx", "A 44885-2022")</f>
        <v/>
      </c>
      <c r="AB33">
        <f>HYPERLINK("https://klasma.github.io/Logging_1276/tillsynsmail/A 44885-2022 tillsynsbegäran mail.docx", "A 44885-2022")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46220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Kungsfågel</t>
        </is>
      </c>
      <c r="V34">
        <f>HYPERLINK("https://klasma.github.io/Logging_1276/artfynd/A 61058-2025 artfynd.xlsx", "A 61058-2025")</f>
        <v/>
      </c>
      <c r="W34">
        <f>HYPERLINK("https://klasma.github.io/Logging_1276/kartor/A 61058-2025 karta.png", "A 61058-2025")</f>
        <v/>
      </c>
      <c r="Y34">
        <f>HYPERLINK("https://klasma.github.io/Logging_1276/klagomål/A 61058-2025 FSC-klagomål.docx", "A 61058-2025")</f>
        <v/>
      </c>
      <c r="Z34">
        <f>HYPERLINK("https://klasma.github.io/Logging_1276/klagomålsmail/A 61058-2025 FSC-klagomål mail.docx", "A 61058-2025")</f>
        <v/>
      </c>
      <c r="AA34">
        <f>HYPERLINK("https://klasma.github.io/Logging_1276/tillsyn/A 61058-2025 tillsynsbegäran.docx", "A 61058-2025")</f>
        <v/>
      </c>
      <c r="AB34">
        <f>HYPERLINK("https://klasma.github.io/Logging_1276/tillsynsmail/A 61058-2025 tillsynsbegäran mail.docx", "A 61058-2025")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46220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Mindre hackspett</t>
        </is>
      </c>
      <c r="V35">
        <f>HYPERLINK("https://klasma.github.io/Logging_1276/artfynd/A 61049-2025 artfynd.xlsx", "A 61049-2025")</f>
        <v/>
      </c>
      <c r="W35">
        <f>HYPERLINK("https://klasma.github.io/Logging_1276/kartor/A 61049-2025 karta.png", "A 61049-2025")</f>
        <v/>
      </c>
      <c r="Y35">
        <f>HYPERLINK("https://klasma.github.io/Logging_1276/klagomål/A 61049-2025 FSC-klagomål.docx", "A 61049-2025")</f>
        <v/>
      </c>
      <c r="Z35">
        <f>HYPERLINK("https://klasma.github.io/Logging_1276/klagomålsmail/A 61049-2025 FSC-klagomål mail.docx", "A 61049-2025")</f>
        <v/>
      </c>
      <c r="AA35">
        <f>HYPERLINK("https://klasma.github.io/Logging_1276/tillsyn/A 61049-2025 tillsynsbegäran.docx", "A 61049-2025")</f>
        <v/>
      </c>
      <c r="AB35">
        <f>HYPERLINK("https://klasma.github.io/Logging_1276/tillsynsmail/A 61049-2025 tillsynsbegäran mail.docx", "A 61049-2025")</f>
        <v/>
      </c>
      <c r="AC35">
        <f>HYPERLINK("https://klasma.github.io/Logging_1276/fåglar/A 61049-2025 prioriterade fågelarter.docx", "A 61049-2025")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46220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Västlig hakmossa</t>
        </is>
      </c>
      <c r="V36">
        <f>HYPERLINK("https://klasma.github.io/Logging_1276/artfynd/A 46147-2022 artfynd.xlsx", "A 46147-2022")</f>
        <v/>
      </c>
      <c r="W36">
        <f>HYPERLINK("https://klasma.github.io/Logging_1276/kartor/A 46147-2022 karta.png", "A 46147-2022")</f>
        <v/>
      </c>
      <c r="Y36">
        <f>HYPERLINK("https://klasma.github.io/Logging_1276/klagomål/A 46147-2022 FSC-klagomål.docx", "A 46147-2022")</f>
        <v/>
      </c>
      <c r="Z36">
        <f>HYPERLINK("https://klasma.github.io/Logging_1276/klagomålsmail/A 46147-2022 FSC-klagomål mail.docx", "A 46147-2022")</f>
        <v/>
      </c>
      <c r="AA36">
        <f>HYPERLINK("https://klasma.github.io/Logging_1276/tillsyn/A 46147-2022 tillsynsbegäran.docx", "A 46147-2022")</f>
        <v/>
      </c>
      <c r="AB36">
        <f>HYPERLINK("https://klasma.github.io/Logging_1276/tillsynsmail/A 46147-2022 tillsynsbegäran mail.docx", "A 46147-2022")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46220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Bäckbräsma</t>
        </is>
      </c>
      <c r="V37">
        <f>HYPERLINK("https://klasma.github.io/Logging_1276/artfynd/A 21788-2026 artfynd.xlsx", "A 21788-2026")</f>
        <v/>
      </c>
      <c r="W37">
        <f>HYPERLINK("https://klasma.github.io/Logging_1276/kartor/A 21788-2026 karta.png", "A 21788-2026")</f>
        <v/>
      </c>
      <c r="Y37">
        <f>HYPERLINK("https://klasma.github.io/Logging_1276/klagomål/A 21788-2026 FSC-klagomål.docx", "A 21788-2026")</f>
        <v/>
      </c>
      <c r="Z37">
        <f>HYPERLINK("https://klasma.github.io/Logging_1276/klagomålsmail/A 21788-2026 FSC-klagomål mail.docx", "A 21788-2026")</f>
        <v/>
      </c>
      <c r="AA37">
        <f>HYPERLINK("https://klasma.github.io/Logging_1276/tillsyn/A 21788-2026 tillsynsbegäran.docx", "A 21788-2026")</f>
        <v/>
      </c>
      <c r="AB37">
        <f>HYPERLINK("https://klasma.github.io/Logging_1276/tillsynsmail/A 21788-2026 tillsynsbegäran mail.docx", "A 21788-2026")</f>
        <v/>
      </c>
    </row>
    <row r="38" ht="15" customHeight="1">
      <c r="A38" t="inlineStr">
        <is>
          <t>A 10000-2025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46220</v>
      </c>
      <c r="F38" t="inlineStr">
        <is>
          <t>SKÅNE LÄN</t>
        </is>
      </c>
      <c r="G38" t="inlineStr">
        <is>
          <t>KLIPPAN</t>
        </is>
      </c>
      <c r="I38" t="n">
        <v>2.6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Dvärghäxört</t>
        </is>
      </c>
      <c r="V38">
        <f>HYPERLINK("https://klasma.github.io/Logging_1276/artfynd/A 10000-2025 artfynd.xlsx", "A 10000-2025")</f>
        <v/>
      </c>
      <c r="W38">
        <f>HYPERLINK("https://klasma.github.io/Logging_1276/kartor/A 10000-2025 karta.png", "A 10000-2025")</f>
        <v/>
      </c>
      <c r="Y38">
        <f>HYPERLINK("https://klasma.github.io/Logging_1276/klagomål/A 10000-2025 FSC-klagomål.docx", "A 10000-2025")</f>
        <v/>
      </c>
      <c r="Z38">
        <f>HYPERLINK("https://klasma.github.io/Logging_1276/klagomålsmail/A 10000-2025 FSC-klagomål mail.docx", "A 10000-2025")</f>
        <v/>
      </c>
      <c r="AA38">
        <f>HYPERLINK("https://klasma.github.io/Logging_1276/tillsyn/A 10000-2025 tillsynsbegäran.docx", "A 10000-2025")</f>
        <v/>
      </c>
      <c r="AB38">
        <f>HYPERLINK("https://klasma.github.io/Logging_1276/tillsynsmail/A 10000-2025 tillsynsbegäran mail.docx", "A 10000-2025")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46220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Dvärghäxört</t>
        </is>
      </c>
      <c r="V39">
        <f>HYPERLINK("https://klasma.github.io/Logging_1276/artfynd/A 31279-2026 artfynd.xlsx", "A 31279-2026")</f>
        <v/>
      </c>
      <c r="W39">
        <f>HYPERLINK("https://klasma.github.io/Logging_1276/kartor/A 31279-2026 karta.png", "A 31279-2026")</f>
        <v/>
      </c>
      <c r="Y39">
        <f>HYPERLINK("https://klasma.github.io/Logging_1276/klagomål/A 31279-2026 FSC-klagomål.docx", "A 31279-2026")</f>
        <v/>
      </c>
      <c r="Z39">
        <f>HYPERLINK("https://klasma.github.io/Logging_1276/klagomålsmail/A 31279-2026 FSC-klagomål mail.docx", "A 31279-2026")</f>
        <v/>
      </c>
      <c r="AA39">
        <f>HYPERLINK("https://klasma.github.io/Logging_1276/tillsyn/A 31279-2026 tillsynsbegäran.docx", "A 31279-2026")</f>
        <v/>
      </c>
      <c r="AB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46220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Rutskinn</t>
        </is>
      </c>
      <c r="V40">
        <f>HYPERLINK("https://klasma.github.io/Logging_1276/artfynd/A 51276-2024 artfynd.xlsx", "A 51276-2024")</f>
        <v/>
      </c>
      <c r="W40">
        <f>HYPERLINK("https://klasma.github.io/Logging_1276/kartor/A 51276-2024 karta.png", "A 51276-2024")</f>
        <v/>
      </c>
      <c r="Y40">
        <f>HYPERLINK("https://klasma.github.io/Logging_1276/klagomål/A 51276-2024 FSC-klagomål.docx", "A 51276-2024")</f>
        <v/>
      </c>
      <c r="Z40">
        <f>HYPERLINK("https://klasma.github.io/Logging_1276/klagomålsmail/A 51276-2024 FSC-klagomål mail.docx", "A 51276-2024")</f>
        <v/>
      </c>
      <c r="AA40">
        <f>HYPERLINK("https://klasma.github.io/Logging_1276/tillsyn/A 51276-2024 tillsynsbegäran.docx", "A 51276-2024")</f>
        <v/>
      </c>
      <c r="AB40">
        <f>HYPERLINK("https://klasma.github.io/Logging_1276/tillsynsmail/A 51276-2024 tillsynsbegäran mail.docx", "A 51276-2024")</f>
        <v/>
      </c>
    </row>
    <row r="41" ht="15" customHeight="1">
      <c r="A41" t="inlineStr">
        <is>
          <t>S 841-2023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44992</v>
      </c>
      <c r="E41" s="1" t="n">
        <v>46220</v>
      </c>
      <c r="F41" t="inlineStr">
        <is>
          <t>SKÅNE LÄN</t>
        </is>
      </c>
      <c r="G41" t="inlineStr">
        <is>
          <t>KLIPPAN</t>
        </is>
      </c>
      <c r="I41" t="n">
        <v>23.9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Igelkott</t>
        </is>
      </c>
      <c r="V41">
        <f>HYPERLINK("https://klasma.github.io/Logging_1276/artfynd/S 841-2023 artfynd.xlsx", "S 841-2023")</f>
        <v/>
      </c>
      <c r="W41">
        <f>HYPERLINK("https://klasma.github.io/Logging_1276/kartor/S 841-2023 karta.png", "S 841-2023")</f>
        <v/>
      </c>
      <c r="Y41">
        <f>HYPERLINK("https://klasma.github.io/Logging_1276/klagomål/S 841-2023 FSC-klagomål.docx", "S 841-2023")</f>
        <v/>
      </c>
      <c r="Z41">
        <f>HYPERLINK("https://klasma.github.io/Logging_1276/klagomålsmail/S 841-2023 FSC-klagomål mail.docx", "S 841-2023")</f>
        <v/>
      </c>
      <c r="AA41">
        <f>HYPERLINK("https://klasma.github.io/Logging_1276/tillsyn/S 841-2023 tillsynsbegäran.docx", "S 841-2023")</f>
        <v/>
      </c>
      <c r="AB41">
        <f>HYPERLINK("https://klasma.github.io/Logging_1276/tillsynsmail/S 841-2023 tillsynsbegäran mail.docx", "S 841-2023")</f>
        <v/>
      </c>
    </row>
    <row r="42" ht="15" customHeight="1">
      <c r="A42" t="inlineStr">
        <is>
          <t>S 3667-2023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45217</v>
      </c>
      <c r="E42" s="1" t="n">
        <v>46220</v>
      </c>
      <c r="F42" t="inlineStr">
        <is>
          <t>SKÅNE LÄN</t>
        </is>
      </c>
      <c r="G42" t="inlineStr">
        <is>
          <t>KLIPPAN</t>
        </is>
      </c>
      <c r="I42" t="n">
        <v>186.4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Skogsalm</t>
        </is>
      </c>
      <c r="V42">
        <f>HYPERLINK("https://klasma.github.io/Logging_1276/artfynd/S 3667-2023 artfynd.xlsx", "S 3667-2023")</f>
        <v/>
      </c>
      <c r="W42">
        <f>HYPERLINK("https://klasma.github.io/Logging_1276/kartor/S 3667-2023 karta.png", "S 3667-2023")</f>
        <v/>
      </c>
      <c r="Y42">
        <f>HYPERLINK("https://klasma.github.io/Logging_1276/klagomål/S 3667-2023 FSC-klagomål.docx", "S 3667-2023")</f>
        <v/>
      </c>
      <c r="Z42">
        <f>HYPERLINK("https://klasma.github.io/Logging_1276/klagomålsmail/S 3667-2023 FSC-klagomål mail.docx", "S 3667-2023")</f>
        <v/>
      </c>
      <c r="AA42">
        <f>HYPERLINK("https://klasma.github.io/Logging_1276/tillsyn/S 3667-2023 tillsynsbegäran.docx", "S 3667-2023")</f>
        <v/>
      </c>
      <c r="AB42">
        <f>HYPERLINK("https://klasma.github.io/Logging_1276/tillsynsmail/S 3667-2023 tillsynsbegäran mail.docx", "S 3667-2023")</f>
        <v/>
      </c>
    </row>
    <row r="43" ht="15" customHeight="1">
      <c r="A43" t="inlineStr">
        <is>
          <t>S 5988-2022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44859</v>
      </c>
      <c r="E43" s="1" t="n">
        <v>46220</v>
      </c>
      <c r="F43" t="inlineStr">
        <is>
          <t>SKÅNE LÄN</t>
        </is>
      </c>
      <c r="G43" t="inlineStr">
        <is>
          <t>KLIPPAN</t>
        </is>
      </c>
      <c r="I43" t="n">
        <v>27.8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snok</t>
        </is>
      </c>
      <c r="V43">
        <f>HYPERLINK("https://klasma.github.io/Logging_1276/artfynd/S 5988-2022 artfynd.xlsx", "S 5988-2022")</f>
        <v/>
      </c>
      <c r="W43">
        <f>HYPERLINK("https://klasma.github.io/Logging_1276/kartor/S 5988-2022 karta.png", "S 5988-2022")</f>
        <v/>
      </c>
      <c r="Y43">
        <f>HYPERLINK("https://klasma.github.io/Logging_1276/klagomål/S 5988-2022 FSC-klagomål.docx", "S 5988-2022")</f>
        <v/>
      </c>
      <c r="Z43">
        <f>HYPERLINK("https://klasma.github.io/Logging_1276/klagomålsmail/S 5988-2022 FSC-klagomål mail.docx", "S 5988-2022")</f>
        <v/>
      </c>
      <c r="AA43">
        <f>HYPERLINK("https://klasma.github.io/Logging_1276/tillsyn/S 5988-2022 tillsynsbegäran.docx", "S 5988-2022")</f>
        <v/>
      </c>
      <c r="AB43">
        <f>HYPERLINK("https://klasma.github.io/Logging_1276/tillsynsmail/S 5988-2022 tillsynsbegäran mail.docx", "S 5988-2022")</f>
        <v/>
      </c>
    </row>
    <row r="44" ht="15" customHeight="1">
      <c r="A44" t="inlineStr">
        <is>
          <t>S 2025-2022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44665</v>
      </c>
      <c r="E44" s="1" t="n">
        <v>46220</v>
      </c>
      <c r="F44" t="inlineStr">
        <is>
          <t>SKÅNE LÄN</t>
        </is>
      </c>
      <c r="G44" t="inlineStr">
        <is>
          <t>KLIPPAN</t>
        </is>
      </c>
      <c r="I44" t="n">
        <v>13.5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Tibast</t>
        </is>
      </c>
      <c r="V44">
        <f>HYPERLINK("https://klasma.github.io/Logging_1276/artfynd/S 2025-2022 artfynd.xlsx", "S 2025-2022")</f>
        <v/>
      </c>
      <c r="W44">
        <f>HYPERLINK("https://klasma.github.io/Logging_1276/kartor/S 2025-2022 karta.png", "S 2025-2022")</f>
        <v/>
      </c>
      <c r="Y44">
        <f>HYPERLINK("https://klasma.github.io/Logging_1276/klagomål/S 2025-2022 FSC-klagomål.docx", "S 2025-2022")</f>
        <v/>
      </c>
      <c r="Z44">
        <f>HYPERLINK("https://klasma.github.io/Logging_1276/klagomålsmail/S 2025-2022 FSC-klagomål mail.docx", "S 2025-2022")</f>
        <v/>
      </c>
      <c r="AA44">
        <f>HYPERLINK("https://klasma.github.io/Logging_1276/tillsyn/S 2025-2022 tillsynsbegäran.docx", "S 2025-2022")</f>
        <v/>
      </c>
      <c r="AB44">
        <f>HYPERLINK("https://klasma.github.io/Logging_1276/tillsynsmail/S 2025-2022 tillsynsbegäran mail.docx", "S 2025-2022")</f>
        <v/>
      </c>
    </row>
    <row r="45" ht="15" customHeight="1">
      <c r="A45" t="inlineStr">
        <is>
          <t>A 55629-2022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46220</v>
      </c>
      <c r="F45" t="inlineStr">
        <is>
          <t>SKÅNE LÄN</t>
        </is>
      </c>
      <c r="G45" t="inlineStr">
        <is>
          <t>KLIPPAN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55637-2022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46220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46220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58633-2021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46220</v>
      </c>
      <c r="F48" t="inlineStr">
        <is>
          <t>SKÅNE LÄN</t>
        </is>
      </c>
      <c r="G48" t="inlineStr">
        <is>
          <t>KLIPPAN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19097-2022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46220</v>
      </c>
      <c r="F49" t="inlineStr">
        <is>
          <t>SKÅNE LÄN</t>
        </is>
      </c>
      <c r="G49" t="inlineStr">
        <is>
          <t>KLIPPAN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20010-2022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44697</v>
      </c>
      <c r="E50" s="1" t="n">
        <v>46220</v>
      </c>
      <c r="F50" t="inlineStr">
        <is>
          <t>SKÅNE LÄN</t>
        </is>
      </c>
      <c r="G50" t="inlineStr">
        <is>
          <t>KLIPPAN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19999-2022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46220</v>
      </c>
      <c r="F51" t="inlineStr">
        <is>
          <t>SKÅNE LÄN</t>
        </is>
      </c>
      <c r="G51" t="inlineStr">
        <is>
          <t>KLIPPAN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46220</v>
      </c>
      <c r="F52" t="inlineStr">
        <is>
          <t>SKÅNE LÄN</t>
        </is>
      </c>
      <c r="G52" t="inlineStr">
        <is>
          <t>KLIPPAN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57952-2021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46220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44575</v>
      </c>
      <c r="E54" s="1" t="n">
        <v>46220</v>
      </c>
      <c r="F54" t="inlineStr">
        <is>
          <t>SKÅNE LÄN</t>
        </is>
      </c>
      <c r="G54" t="inlineStr">
        <is>
          <t>KLIPPAN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46220</v>
      </c>
      <c r="F55" t="inlineStr">
        <is>
          <t>SKÅNE LÄN</t>
        </is>
      </c>
      <c r="G55" t="inlineStr">
        <is>
          <t>KLIPPAN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46692-2021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46220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46220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46220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46220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46220</v>
      </c>
      <c r="F61" t="inlineStr">
        <is>
          <t>SKÅNE LÄN</t>
        </is>
      </c>
      <c r="G61" t="inlineStr">
        <is>
          <t>KLIPPAN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46220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46220</v>
      </c>
      <c r="F63" t="inlineStr">
        <is>
          <t>SKÅNE LÄN</t>
        </is>
      </c>
      <c r="G63" t="inlineStr">
        <is>
          <t>KLIPPAN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40238-2021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44418</v>
      </c>
      <c r="E64" s="1" t="n">
        <v>46220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46220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46220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46220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47967-2021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46220</v>
      </c>
      <c r="F68" t="inlineStr">
        <is>
          <t>SKÅNE LÄN</t>
        </is>
      </c>
      <c r="G68" t="inlineStr">
        <is>
          <t>KLIPPAN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46220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46220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45523</v>
      </c>
      <c r="E71" s="1" t="n">
        <v>46220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46220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46220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46220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46220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45328</v>
      </c>
      <c r="E76" s="1" t="n">
        <v>46220</v>
      </c>
      <c r="F76" t="inlineStr">
        <is>
          <t>SKÅNE LÄN</t>
        </is>
      </c>
      <c r="G76" t="inlineStr">
        <is>
          <t>KLIPPAN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46220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46220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46220</v>
      </c>
      <c r="F79" t="inlineStr">
        <is>
          <t>SKÅNE LÄN</t>
        </is>
      </c>
      <c r="G79" t="inlineStr">
        <is>
          <t>KLIPPAN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15070-2024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45399</v>
      </c>
      <c r="E80" s="1" t="n">
        <v>46220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317-2026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46027</v>
      </c>
      <c r="E81" s="1" t="n">
        <v>46220</v>
      </c>
      <c r="F81" t="inlineStr">
        <is>
          <t>SKÅNE LÄN</t>
        </is>
      </c>
      <c r="G81" t="inlineStr">
        <is>
          <t>KLIPPAN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46220</v>
      </c>
      <c r="F82" t="inlineStr">
        <is>
          <t>SKÅNE LÄN</t>
        </is>
      </c>
      <c r="G82" t="inlineStr">
        <is>
          <t>KLIPPAN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45573</v>
      </c>
      <c r="E83" s="1" t="n">
        <v>46220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46220</v>
      </c>
      <c r="F84" t="inlineStr">
        <is>
          <t>SKÅNE LÄN</t>
        </is>
      </c>
      <c r="G84" t="inlineStr">
        <is>
          <t>KLIPPAN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45163</v>
      </c>
      <c r="E85" s="1" t="n">
        <v>46220</v>
      </c>
      <c r="F85" t="inlineStr">
        <is>
          <t>SKÅNE LÄN</t>
        </is>
      </c>
      <c r="G85" t="inlineStr">
        <is>
          <t>KLIPPAN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58642-2021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46220</v>
      </c>
      <c r="F86" t="inlineStr">
        <is>
          <t>SKÅNE LÄN</t>
        </is>
      </c>
      <c r="G86" t="inlineStr">
        <is>
          <t>KLIPPAN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44531</v>
      </c>
      <c r="E87" s="1" t="n">
        <v>46220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46220</v>
      </c>
      <c r="F88" t="inlineStr">
        <is>
          <t>SKÅNE LÄN</t>
        </is>
      </c>
      <c r="G88" t="inlineStr">
        <is>
          <t>KLIPPAN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46220</v>
      </c>
      <c r="F89" t="inlineStr">
        <is>
          <t>SKÅNE LÄN</t>
        </is>
      </c>
      <c r="G89" t="inlineStr">
        <is>
          <t>KLIPPAN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46220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43855-2022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46220</v>
      </c>
      <c r="F91" t="inlineStr">
        <is>
          <t>SKÅNE LÄN</t>
        </is>
      </c>
      <c r="G91" t="inlineStr">
        <is>
          <t>KLIPPAN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27898-2025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46220</v>
      </c>
      <c r="F92" t="inlineStr">
        <is>
          <t>SKÅNE LÄN</t>
        </is>
      </c>
      <c r="G92" t="inlineStr">
        <is>
          <t>KLIPPAN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59482-2024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46220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27010-2023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46220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46220</v>
      </c>
      <c r="F95" t="inlineStr">
        <is>
          <t>SKÅNE LÄN</t>
        </is>
      </c>
      <c r="G95" t="inlineStr">
        <is>
          <t>KLIPPAN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42627-2025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46220</v>
      </c>
      <c r="F96" t="inlineStr">
        <is>
          <t>SKÅNE LÄN</t>
        </is>
      </c>
      <c r="G96" t="inlineStr">
        <is>
          <t>KLIPPAN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18214-2023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45040</v>
      </c>
      <c r="E97" s="1" t="n">
        <v>46220</v>
      </c>
      <c r="F97" t="inlineStr">
        <is>
          <t>SKÅNE LÄN</t>
        </is>
      </c>
      <c r="G97" t="inlineStr">
        <is>
          <t>KLIPPAN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34479-2025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45847</v>
      </c>
      <c r="E98" s="1" t="n">
        <v>46220</v>
      </c>
      <c r="F98" t="inlineStr">
        <is>
          <t>SKÅNE LÄN</t>
        </is>
      </c>
      <c r="G98" t="inlineStr">
        <is>
          <t>KLIPPAN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29284-2025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45824</v>
      </c>
      <c r="E99" s="1" t="n">
        <v>46220</v>
      </c>
      <c r="F99" t="inlineStr">
        <is>
          <t>SKÅNE LÄN</t>
        </is>
      </c>
      <c r="G99" t="inlineStr">
        <is>
          <t>KLIPPAN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60791-2023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45260</v>
      </c>
      <c r="E100" s="1" t="n">
        <v>46220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32132-2025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46220</v>
      </c>
      <c r="F101" t="inlineStr">
        <is>
          <t>SKÅNE LÄN</t>
        </is>
      </c>
      <c r="G101" t="inlineStr">
        <is>
          <t>KLIPPAN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45096-2025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46220</v>
      </c>
      <c r="F102" t="inlineStr">
        <is>
          <t>SKÅNE LÄN</t>
        </is>
      </c>
      <c r="G102" t="inlineStr">
        <is>
          <t>KLIPPAN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23681-2023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45077</v>
      </c>
      <c r="E103" s="1" t="n">
        <v>46220</v>
      </c>
      <c r="F103" t="inlineStr">
        <is>
          <t>SKÅNE LÄN</t>
        </is>
      </c>
      <c r="G103" t="inlineStr">
        <is>
          <t>KLIPPAN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45324</v>
      </c>
      <c r="E104" s="1" t="n">
        <v>46220</v>
      </c>
      <c r="F104" t="inlineStr">
        <is>
          <t>SKÅNE LÄN</t>
        </is>
      </c>
      <c r="G104" t="inlineStr">
        <is>
          <t>KLIPPAN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46220</v>
      </c>
      <c r="F105" t="inlineStr">
        <is>
          <t>SKÅNE LÄN</t>
        </is>
      </c>
      <c r="G105" t="inlineStr">
        <is>
          <t>KLIPPAN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44891-2022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46220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17856-2024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46220</v>
      </c>
      <c r="F107" t="inlineStr">
        <is>
          <t>SKÅNE LÄN</t>
        </is>
      </c>
      <c r="G107" t="inlineStr">
        <is>
          <t>KLIPPAN</t>
        </is>
      </c>
      <c r="H107" t="inlineStr">
        <is>
          <t>Övriga Aktiebolag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13994-2025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45739</v>
      </c>
      <c r="E108" s="1" t="n">
        <v>46220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46220</v>
      </c>
      <c r="F109" t="inlineStr">
        <is>
          <t>SKÅNE LÄN</t>
        </is>
      </c>
      <c r="G109" t="inlineStr">
        <is>
          <t>KLIPPAN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22120-2025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46220</v>
      </c>
      <c r="F110" t="inlineStr">
        <is>
          <t>SKÅNE LÄN</t>
        </is>
      </c>
      <c r="G110" t="inlineStr">
        <is>
          <t>KLIPPAN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46220</v>
      </c>
      <c r="F111" t="inlineStr">
        <is>
          <t>SKÅNE LÄN</t>
        </is>
      </c>
      <c r="G111" t="inlineStr">
        <is>
          <t>KLIPPAN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46220</v>
      </c>
      <c r="F112" t="inlineStr">
        <is>
          <t>SKÅNE LÄN</t>
        </is>
      </c>
      <c r="G112" t="inlineStr">
        <is>
          <t>KLIPPAN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46260-2024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46220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50357-2021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46220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46220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39244-2022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46220</v>
      </c>
      <c r="F116" t="inlineStr">
        <is>
          <t>SKÅNE LÄN</t>
        </is>
      </c>
      <c r="G116" t="inlineStr">
        <is>
          <t>KLIPPAN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20717-2023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45055</v>
      </c>
      <c r="E117" s="1" t="n">
        <v>46220</v>
      </c>
      <c r="F117" t="inlineStr">
        <is>
          <t>SKÅNE LÄN</t>
        </is>
      </c>
      <c r="G117" t="inlineStr">
        <is>
          <t>KLIPPAN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37068-2023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46220</v>
      </c>
      <c r="F118" t="inlineStr">
        <is>
          <t>SKÅNE LÄN</t>
        </is>
      </c>
      <c r="G118" t="inlineStr">
        <is>
          <t>KLIPPAN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46220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40762-2021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46220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55588-2021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46220</v>
      </c>
      <c r="F121" t="inlineStr">
        <is>
          <t>SKÅNE LÄN</t>
        </is>
      </c>
      <c r="G121" t="inlineStr">
        <is>
          <t>KLIPPAN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46220</v>
      </c>
      <c r="F122" t="inlineStr">
        <is>
          <t>SKÅNE LÄN</t>
        </is>
      </c>
      <c r="G122" t="inlineStr">
        <is>
          <t>KLIPPAN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52286-2023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46220</v>
      </c>
      <c r="F123" t="inlineStr">
        <is>
          <t>SKÅNE LÄN</t>
        </is>
      </c>
      <c r="G123" t="inlineStr">
        <is>
          <t>KLIPPAN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46619-2024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46220</v>
      </c>
      <c r="F124" t="inlineStr">
        <is>
          <t>SKÅNE LÄN</t>
        </is>
      </c>
      <c r="G124" t="inlineStr">
        <is>
          <t>KLIPPAN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46220</v>
      </c>
      <c r="F125" t="inlineStr">
        <is>
          <t>SKÅNE LÄN</t>
        </is>
      </c>
      <c r="G125" t="inlineStr">
        <is>
          <t>KLIPPAN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24333-2022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44726</v>
      </c>
      <c r="E126" s="1" t="n">
        <v>46220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56089-2021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44477</v>
      </c>
      <c r="E127" s="1" t="n">
        <v>46220</v>
      </c>
      <c r="F127" t="inlineStr">
        <is>
          <t>SKÅNE LÄN</t>
        </is>
      </c>
      <c r="G127" t="inlineStr">
        <is>
          <t>KLIPPAN</t>
        </is>
      </c>
      <c r="I127" t="n">
        <v>20.9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55696-2025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46220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54348-2022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46220</v>
      </c>
      <c r="F129" t="inlineStr">
        <is>
          <t>SKÅNE LÄN</t>
        </is>
      </c>
      <c r="G129" t="inlineStr">
        <is>
          <t>KLIPPAN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33462-2025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46220</v>
      </c>
      <c r="F130" t="inlineStr">
        <is>
          <t>SKÅNE LÄN</t>
        </is>
      </c>
      <c r="G130" t="inlineStr">
        <is>
          <t>KLIPPAN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46220</v>
      </c>
      <c r="F131" t="inlineStr">
        <is>
          <t>SKÅNE LÄN</t>
        </is>
      </c>
      <c r="G131" t="inlineStr">
        <is>
          <t>KLIPPAN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57687-2025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46220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40710-2023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46220</v>
      </c>
      <c r="F133" t="inlineStr">
        <is>
          <t>SKÅNE LÄN</t>
        </is>
      </c>
      <c r="G133" t="inlineStr">
        <is>
          <t>KLIPPAN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55833-2023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45239</v>
      </c>
      <c r="E134" s="1" t="n">
        <v>46220</v>
      </c>
      <c r="F134" t="inlineStr">
        <is>
          <t>SKÅNE LÄN</t>
        </is>
      </c>
      <c r="G134" t="inlineStr">
        <is>
          <t>KLIPPAN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20128-2023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45055</v>
      </c>
      <c r="E135" s="1" t="n">
        <v>46220</v>
      </c>
      <c r="F135" t="inlineStr">
        <is>
          <t>SKÅNE LÄN</t>
        </is>
      </c>
      <c r="G135" t="inlineStr">
        <is>
          <t>KLIPPAN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46220</v>
      </c>
      <c r="F136" t="inlineStr">
        <is>
          <t>SKÅNE LÄN</t>
        </is>
      </c>
      <c r="G136" t="inlineStr">
        <is>
          <t>KLIPPAN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61682-2023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46220</v>
      </c>
      <c r="F137" t="inlineStr">
        <is>
          <t>SKÅNE LÄN</t>
        </is>
      </c>
      <c r="G137" t="inlineStr">
        <is>
          <t>KLIPPAN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11676-2023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46220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46220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46220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28847-2023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45104</v>
      </c>
      <c r="E141" s="1" t="n">
        <v>46220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15442-2022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44659</v>
      </c>
      <c r="E142" s="1" t="n">
        <v>46220</v>
      </c>
      <c r="F142" t="inlineStr">
        <is>
          <t>SKÅNE LÄN</t>
        </is>
      </c>
      <c r="G142" t="inlineStr">
        <is>
          <t>KLIPPAN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46220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46220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46728-2023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45198</v>
      </c>
      <c r="E145" s="1" t="n">
        <v>46220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53289-2025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46220</v>
      </c>
      <c r="F146" t="inlineStr">
        <is>
          <t>SKÅNE LÄN</t>
        </is>
      </c>
      <c r="G146" t="inlineStr">
        <is>
          <t>KLIPPAN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53290-2025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46220</v>
      </c>
      <c r="F147" t="inlineStr">
        <is>
          <t>SKÅNE LÄN</t>
        </is>
      </c>
      <c r="G147" t="inlineStr">
        <is>
          <t>KLIPPAN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9488-2026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46220</v>
      </c>
      <c r="F148" t="inlineStr">
        <is>
          <t>SKÅNE LÄN</t>
        </is>
      </c>
      <c r="G148" t="inlineStr">
        <is>
          <t>KLIPPAN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46220</v>
      </c>
      <c r="F149" t="inlineStr">
        <is>
          <t>SKÅNE LÄN</t>
        </is>
      </c>
      <c r="G149" t="inlineStr">
        <is>
          <t>KLIPPAN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41294-2022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46220</v>
      </c>
      <c r="F150" t="inlineStr">
        <is>
          <t>SKÅNE LÄN</t>
        </is>
      </c>
      <c r="G150" t="inlineStr">
        <is>
          <t>KLIPPAN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39097-2024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46220</v>
      </c>
      <c r="F151" t="inlineStr">
        <is>
          <t>SKÅNE LÄN</t>
        </is>
      </c>
      <c r="G151" t="inlineStr">
        <is>
          <t>KLIPPAN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46220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49073-2024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46220</v>
      </c>
      <c r="F153" t="inlineStr">
        <is>
          <t>SKÅNE LÄN</t>
        </is>
      </c>
      <c r="G153" t="inlineStr">
        <is>
          <t>KLIPPAN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7661-2025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45706</v>
      </c>
      <c r="E154" s="1" t="n">
        <v>46220</v>
      </c>
      <c r="F154" t="inlineStr">
        <is>
          <t>SKÅNE LÄN</t>
        </is>
      </c>
      <c r="G154" t="inlineStr">
        <is>
          <t>KLIPPAN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46220</v>
      </c>
      <c r="F155" t="inlineStr">
        <is>
          <t>SKÅNE LÄN</t>
        </is>
      </c>
      <c r="G155" t="inlineStr">
        <is>
          <t>KLIPPAN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48965-2023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46220</v>
      </c>
      <c r="F156" t="inlineStr">
        <is>
          <t>SKÅNE LÄN</t>
        </is>
      </c>
      <c r="G156" t="inlineStr">
        <is>
          <t>KLIPPAN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9270-2022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46220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36842-2024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46220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46220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14774-2026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46220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8500-2023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46220</v>
      </c>
      <c r="F161" t="inlineStr">
        <is>
          <t>SKÅNE LÄN</t>
        </is>
      </c>
      <c r="G161" t="inlineStr">
        <is>
          <t>KLIPPAN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55291-2023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45237</v>
      </c>
      <c r="E162" s="1" t="n">
        <v>46220</v>
      </c>
      <c r="F162" t="inlineStr">
        <is>
          <t>SKÅNE LÄN</t>
        </is>
      </c>
      <c r="G162" t="inlineStr">
        <is>
          <t>KLIPPAN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69041-2021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44529</v>
      </c>
      <c r="E163" s="1" t="n">
        <v>46220</v>
      </c>
      <c r="F163" t="inlineStr">
        <is>
          <t>SKÅNE LÄN</t>
        </is>
      </c>
      <c r="G163" t="inlineStr">
        <is>
          <t>KLIPPAN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23260-2023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45075</v>
      </c>
      <c r="E164" s="1" t="n">
        <v>46220</v>
      </c>
      <c r="F164" t="inlineStr">
        <is>
          <t>SKÅNE LÄN</t>
        </is>
      </c>
      <c r="G164" t="inlineStr">
        <is>
          <t>KLIPPAN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55586-2021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44475</v>
      </c>
      <c r="E165" s="1" t="n">
        <v>46220</v>
      </c>
      <c r="F165" t="inlineStr">
        <is>
          <t>SKÅNE LÄN</t>
        </is>
      </c>
      <c r="G165" t="inlineStr">
        <is>
          <t>KLIPPAN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10695-2023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46220</v>
      </c>
      <c r="F166" t="inlineStr">
        <is>
          <t>SKÅNE LÄN</t>
        </is>
      </c>
      <c r="G166" t="inlineStr">
        <is>
          <t>KLIPPAN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25721-2026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46220</v>
      </c>
      <c r="F167" t="inlineStr">
        <is>
          <t>SKÅNE LÄN</t>
        </is>
      </c>
      <c r="G167" t="inlineStr">
        <is>
          <t>KLIPPAN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14614-2023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46220</v>
      </c>
      <c r="F168" t="inlineStr">
        <is>
          <t>SKÅNE LÄN</t>
        </is>
      </c>
      <c r="G168" t="inlineStr">
        <is>
          <t>KLIPPAN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8017-2022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46220</v>
      </c>
      <c r="F169" t="inlineStr">
        <is>
          <t>SKÅNE LÄN</t>
        </is>
      </c>
      <c r="G169" t="inlineStr">
        <is>
          <t>KLIPPAN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20082-2026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46220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13995-2025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45739</v>
      </c>
      <c r="E171" s="1" t="n">
        <v>46220</v>
      </c>
      <c r="F171" t="inlineStr">
        <is>
          <t>SKÅNE LÄN</t>
        </is>
      </c>
      <c r="G171" t="inlineStr">
        <is>
          <t>KLIPPAN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61060-2025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46220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20088-2026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46220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42275-2024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46220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24034-2023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46220</v>
      </c>
      <c r="F175" t="inlineStr">
        <is>
          <t>SKÅNE LÄN</t>
        </is>
      </c>
      <c r="G175" t="inlineStr">
        <is>
          <t>KLIPPAN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46220</v>
      </c>
      <c r="F176" t="inlineStr">
        <is>
          <t>SKÅNE LÄN</t>
        </is>
      </c>
      <c r="G176" t="inlineStr">
        <is>
          <t>KLIPPAN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20628-2026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46220</v>
      </c>
      <c r="F177" t="inlineStr">
        <is>
          <t>SKÅNE LÄN</t>
        </is>
      </c>
      <c r="G177" t="inlineStr">
        <is>
          <t>KLIPPAN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45641-2022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44845</v>
      </c>
      <c r="E178" s="1" t="n">
        <v>46220</v>
      </c>
      <c r="F178" t="inlineStr">
        <is>
          <t>SKÅNE LÄN</t>
        </is>
      </c>
      <c r="G178" t="inlineStr">
        <is>
          <t>KLIPPAN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21636-2024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45442</v>
      </c>
      <c r="E179" s="1" t="n">
        <v>46220</v>
      </c>
      <c r="F179" t="inlineStr">
        <is>
          <t>SKÅNE LÄN</t>
        </is>
      </c>
      <c r="G179" t="inlineStr">
        <is>
          <t>KLIPPAN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46220</v>
      </c>
      <c r="F180" t="inlineStr">
        <is>
          <t>SKÅNE LÄN</t>
        </is>
      </c>
      <c r="G180" t="inlineStr">
        <is>
          <t>KLIPPAN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20629-2026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46220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60783-2023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46220</v>
      </c>
      <c r="F182" t="inlineStr">
        <is>
          <t>SKÅNE LÄN</t>
        </is>
      </c>
      <c r="G182" t="inlineStr">
        <is>
          <t>KLIPPAN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14619-2023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45013</v>
      </c>
      <c r="E183" s="1" t="n">
        <v>46220</v>
      </c>
      <c r="F183" t="inlineStr">
        <is>
          <t>SKÅNE LÄN</t>
        </is>
      </c>
      <c r="G183" t="inlineStr">
        <is>
          <t>KLIPPAN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46220</v>
      </c>
      <c r="F184" t="inlineStr">
        <is>
          <t>SKÅNE LÄN</t>
        </is>
      </c>
      <c r="G184" t="inlineStr">
        <is>
          <t>KLIPPAN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11335-2023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44993</v>
      </c>
      <c r="E185" s="1" t="n">
        <v>46220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13363-2023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46220</v>
      </c>
      <c r="F186" t="inlineStr">
        <is>
          <t>SKÅNE LÄN</t>
        </is>
      </c>
      <c r="G186" t="inlineStr">
        <is>
          <t>KLIPPAN</t>
        </is>
      </c>
      <c r="H186" t="inlineStr">
        <is>
          <t>Övriga Aktiebolag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46220</v>
      </c>
      <c r="F187" t="inlineStr">
        <is>
          <t>SKÅNE LÄN</t>
        </is>
      </c>
      <c r="G187" t="inlineStr">
        <is>
          <t>KLIPPAN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23741-2023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46220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47870-2022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46220</v>
      </c>
      <c r="F189" t="inlineStr">
        <is>
          <t>SKÅNE LÄN</t>
        </is>
      </c>
      <c r="G189" t="inlineStr">
        <is>
          <t>KLIPPAN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27813-2023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46220</v>
      </c>
      <c r="F190" t="inlineStr">
        <is>
          <t>SKÅNE LÄN</t>
        </is>
      </c>
      <c r="G190" t="inlineStr">
        <is>
          <t>KLIPPAN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58387-2022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46220</v>
      </c>
      <c r="F191" t="inlineStr">
        <is>
          <t>SKÅNE LÄN</t>
        </is>
      </c>
      <c r="G191" t="inlineStr">
        <is>
          <t>KLIPPAN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46220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45596-2024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46220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38323-2023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46220</v>
      </c>
      <c r="F194" t="inlineStr">
        <is>
          <t>SKÅNE LÄN</t>
        </is>
      </c>
      <c r="G194" t="inlineStr">
        <is>
          <t>KLIPPAN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38325-2023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46220</v>
      </c>
      <c r="F195" t="inlineStr">
        <is>
          <t>SKÅNE LÄN</t>
        </is>
      </c>
      <c r="G195" t="inlineStr">
        <is>
          <t>KLIPPAN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21603-2026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46220</v>
      </c>
      <c r="F196" t="inlineStr">
        <is>
          <t>SKÅNE LÄN</t>
        </is>
      </c>
      <c r="G196" t="inlineStr">
        <is>
          <t>KLIPPAN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21602-2026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46220</v>
      </c>
      <c r="F197" t="inlineStr">
        <is>
          <t>SKÅNE LÄN</t>
        </is>
      </c>
      <c r="G197" t="inlineStr">
        <is>
          <t>KLIPPAN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21609-2026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46220</v>
      </c>
      <c r="F198" t="inlineStr">
        <is>
          <t>SKÅNE LÄN</t>
        </is>
      </c>
      <c r="G198" t="inlineStr">
        <is>
          <t>KLIPPAN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21601-2026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46149</v>
      </c>
      <c r="E199" s="1" t="n">
        <v>46220</v>
      </c>
      <c r="F199" t="inlineStr">
        <is>
          <t>SKÅNE LÄN</t>
        </is>
      </c>
      <c r="G199" t="inlineStr">
        <is>
          <t>KLIPPAN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21608-2026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46220</v>
      </c>
      <c r="F200" t="inlineStr">
        <is>
          <t>SKÅNE LÄN</t>
        </is>
      </c>
      <c r="G200" t="inlineStr">
        <is>
          <t>KLIPPAN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21611-2026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46220</v>
      </c>
      <c r="F201" t="inlineStr">
        <is>
          <t>SKÅNE LÄN</t>
        </is>
      </c>
      <c r="G201" t="inlineStr">
        <is>
          <t>KLIPPAN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21599-2026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46220</v>
      </c>
      <c r="F202" t="inlineStr">
        <is>
          <t>SKÅNE LÄN</t>
        </is>
      </c>
      <c r="G202" t="inlineStr">
        <is>
          <t>KLIPPAN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21607-2026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46220</v>
      </c>
      <c r="F203" t="inlineStr">
        <is>
          <t>SKÅNE LÄN</t>
        </is>
      </c>
      <c r="G203" t="inlineStr">
        <is>
          <t>KLIPPAN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21654-2024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45442</v>
      </c>
      <c r="E204" s="1" t="n">
        <v>46220</v>
      </c>
      <c r="F204" t="inlineStr">
        <is>
          <t>SKÅNE LÄN</t>
        </is>
      </c>
      <c r="G204" t="inlineStr">
        <is>
          <t>KLIPPAN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21778-2026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46150</v>
      </c>
      <c r="E205" s="1" t="n">
        <v>46220</v>
      </c>
      <c r="F205" t="inlineStr">
        <is>
          <t>SKÅNE LÄN</t>
        </is>
      </c>
      <c r="G205" t="inlineStr">
        <is>
          <t>KLIPPAN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46220</v>
      </c>
      <c r="F206" t="inlineStr">
        <is>
          <t>SKÅNE LÄN</t>
        </is>
      </c>
      <c r="G206" t="inlineStr">
        <is>
          <t>KLIPPAN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46220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46220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52877-2022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44875</v>
      </c>
      <c r="E209" s="1" t="n">
        <v>46220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44992</v>
      </c>
      <c r="E210" s="1" t="n">
        <v>46220</v>
      </c>
      <c r="F210" t="inlineStr">
        <is>
          <t>SKÅNE LÄN</t>
        </is>
      </c>
      <c r="G210" t="inlineStr">
        <is>
          <t>KLIPPAN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46220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20002-2022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46220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46220</v>
      </c>
      <c r="F213" t="inlineStr">
        <is>
          <t>SKÅNE LÄN</t>
        </is>
      </c>
      <c r="G213" t="inlineStr">
        <is>
          <t>KLIPPAN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49686-2023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46220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68856-2021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46220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46835-2023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45199</v>
      </c>
      <c r="E216" s="1" t="n">
        <v>46220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29338-2026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46220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46220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23220-2026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46220</v>
      </c>
      <c r="F219" t="inlineStr">
        <is>
          <t>SKÅNE LÄN</t>
        </is>
      </c>
      <c r="G219" t="inlineStr">
        <is>
          <t>KLIPPAN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46253-2024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46220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39530-2023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45167</v>
      </c>
      <c r="E221" s="1" t="n">
        <v>46220</v>
      </c>
      <c r="F221" t="inlineStr">
        <is>
          <t>SKÅNE LÄN</t>
        </is>
      </c>
      <c r="G221" t="inlineStr">
        <is>
          <t>KLIPPAN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22976-2023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46220</v>
      </c>
      <c r="F222" t="inlineStr">
        <is>
          <t>SKÅNE LÄN</t>
        </is>
      </c>
      <c r="G222" t="inlineStr">
        <is>
          <t>KLIPPAN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23978-2022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46220</v>
      </c>
      <c r="F223" t="inlineStr">
        <is>
          <t>SKÅNE LÄN</t>
        </is>
      </c>
      <c r="G223" t="inlineStr">
        <is>
          <t>KLIPPAN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29500-2026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46220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15812-2024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45404</v>
      </c>
      <c r="E225" s="1" t="n">
        <v>46220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38945-2023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45163</v>
      </c>
      <c r="E226" s="1" t="n">
        <v>46220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46220</v>
      </c>
      <c r="F227" t="inlineStr">
        <is>
          <t>SKÅNE LÄN</t>
        </is>
      </c>
      <c r="G227" t="inlineStr">
        <is>
          <t>KLIPPAN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55587-2021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46220</v>
      </c>
      <c r="F228" t="inlineStr">
        <is>
          <t>SKÅNE LÄN</t>
        </is>
      </c>
      <c r="G228" t="inlineStr">
        <is>
          <t>KLIPPAN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23874-2022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46220</v>
      </c>
      <c r="F229" t="inlineStr">
        <is>
          <t>SKÅNE LÄN</t>
        </is>
      </c>
      <c r="G229" t="inlineStr">
        <is>
          <t>KLIPPAN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30353-2026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46209</v>
      </c>
      <c r="E230" s="1" t="n">
        <v>46220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9142-2025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45714</v>
      </c>
      <c r="E231" s="1" t="n">
        <v>46220</v>
      </c>
      <c r="F231" t="inlineStr">
        <is>
          <t>SKÅNE LÄN</t>
        </is>
      </c>
      <c r="G231" t="inlineStr">
        <is>
          <t>KLIPPAN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30240-2026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46220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10.9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30215-2026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46220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28247-2023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46220</v>
      </c>
      <c r="F234" t="inlineStr">
        <is>
          <t>SKÅNE LÄN</t>
        </is>
      </c>
      <c r="G234" t="inlineStr">
        <is>
          <t>KLIPPAN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30356-2026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46220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30422-2026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46209</v>
      </c>
      <c r="E236" s="1" t="n">
        <v>46220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30346-2026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46220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56759-2023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46220</v>
      </c>
      <c r="F238" t="inlineStr">
        <is>
          <t>SKÅNE LÄN</t>
        </is>
      </c>
      <c r="G238" t="inlineStr">
        <is>
          <t>KLIPPAN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46220</v>
      </c>
      <c r="F239" t="inlineStr">
        <is>
          <t>SKÅNE LÄN</t>
        </is>
      </c>
      <c r="G239" t="inlineStr">
        <is>
          <t>KLIPPAN</t>
        </is>
      </c>
      <c r="H239" t="inlineStr">
        <is>
          <t>Övriga Aktiebolag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22202-2023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46220</v>
      </c>
      <c r="F240" t="inlineStr">
        <is>
          <t>SKÅNE LÄN</t>
        </is>
      </c>
      <c r="G240" t="inlineStr">
        <is>
          <t>KLIPPAN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20012-2022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44697</v>
      </c>
      <c r="E241" s="1" t="n">
        <v>46220</v>
      </c>
      <c r="F241" t="inlineStr">
        <is>
          <t>SKÅNE LÄN</t>
        </is>
      </c>
      <c r="G241" t="inlineStr">
        <is>
          <t>KLIPPAN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24138-2026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46168</v>
      </c>
      <c r="E242" s="1" t="n">
        <v>46220</v>
      </c>
      <c r="F242" t="inlineStr">
        <is>
          <t>SKÅNE LÄN</t>
        </is>
      </c>
      <c r="G242" t="inlineStr">
        <is>
          <t>KLIPPAN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16418-2025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46220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63720-2023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45275</v>
      </c>
      <c r="E244" s="1" t="n">
        <v>46220</v>
      </c>
      <c r="F244" t="inlineStr">
        <is>
          <t>SKÅNE LÄN</t>
        </is>
      </c>
      <c r="G244" t="inlineStr">
        <is>
          <t>KLIPPAN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14278-2024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46220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46220</v>
      </c>
      <c r="F246" t="inlineStr">
        <is>
          <t>SKÅNE LÄN</t>
        </is>
      </c>
      <c r="G246" t="inlineStr">
        <is>
          <t>KLIPPAN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30520-2026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46210</v>
      </c>
      <c r="E247" s="1" t="n">
        <v>46220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31120-2026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46216</v>
      </c>
      <c r="E248" s="1" t="n">
        <v>46220</v>
      </c>
      <c r="F248" t="inlineStr">
        <is>
          <t>SKÅNE LÄN</t>
        </is>
      </c>
      <c r="G248" t="inlineStr">
        <is>
          <t>KLIPPAN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31121-2026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46216</v>
      </c>
      <c r="E249" s="1" t="n">
        <v>46220</v>
      </c>
      <c r="F249" t="inlineStr">
        <is>
          <t>SKÅNE LÄN</t>
        </is>
      </c>
      <c r="G249" t="inlineStr">
        <is>
          <t>KLIPPAN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23341-2026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46220</v>
      </c>
      <c r="F250" t="inlineStr">
        <is>
          <t>SKÅNE LÄN</t>
        </is>
      </c>
      <c r="G250" t="inlineStr">
        <is>
          <t>KLIPPAN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6615-2024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46220</v>
      </c>
      <c r="F251" t="inlineStr">
        <is>
          <t>SKÅNE LÄN</t>
        </is>
      </c>
      <c r="G251" t="inlineStr">
        <is>
          <t>KLIPPAN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31119-2026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46216</v>
      </c>
      <c r="E252" s="1" t="n">
        <v>46220</v>
      </c>
      <c r="F252" t="inlineStr">
        <is>
          <t>SKÅNE LÄN</t>
        </is>
      </c>
      <c r="G252" t="inlineStr">
        <is>
          <t>KLIPPAN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24647-2023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45084</v>
      </c>
      <c r="E253" s="1" t="n">
        <v>46220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30514-2026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46220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25423-2026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46220</v>
      </c>
      <c r="F255" t="inlineStr">
        <is>
          <t>SKÅNE LÄN</t>
        </is>
      </c>
      <c r="G255" t="inlineStr">
        <is>
          <t>KLIPPAN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13420-2023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46220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25424-2026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46220</v>
      </c>
      <c r="F257" t="inlineStr">
        <is>
          <t>SKÅNE LÄN</t>
        </is>
      </c>
      <c r="G257" t="inlineStr">
        <is>
          <t>KLIPPAN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42281-2024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46220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42284-2024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46220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46220</v>
      </c>
      <c r="F260" t="inlineStr">
        <is>
          <t>SKÅNE LÄN</t>
        </is>
      </c>
      <c r="G260" t="inlineStr">
        <is>
          <t>KLIPPAN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40173-2024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46220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7746-2024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46220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55613-2022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46220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36606-2024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46220</v>
      </c>
      <c r="F264" t="inlineStr">
        <is>
          <t>SKÅNE LÄN</t>
        </is>
      </c>
      <c r="G264" t="inlineStr">
        <is>
          <t>KLIPPAN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46220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46220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46220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46220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46220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46220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46220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46220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46220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46220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46220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46220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46220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46220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46220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46220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46220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46220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46220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46220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46220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46220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46220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46220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46220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46220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2026-07-17T01:45:45Z</dcterms:created>
  <dcterms:modified xmlns:dcterms="http://purl.org/dc/terms/" xmlns:xsi="http://www.w3.org/2001/XMLSchema-instance" xsi:type="dcterms:W3CDTF">2026-07-17T01:45:45Z</dcterms:modified>
</cp:coreProperties>
</file>