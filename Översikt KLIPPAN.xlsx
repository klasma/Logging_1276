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46280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46280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46280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46280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46280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46280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46280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46280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46280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46280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46280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46280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46280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46280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46280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46280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46280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54644-2023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45235</v>
      </c>
      <c r="E19" s="1" t="n">
        <v>46280</v>
      </c>
      <c r="F19" t="inlineStr">
        <is>
          <t>SKÅNE LÄN</t>
        </is>
      </c>
      <c r="G19" t="inlineStr">
        <is>
          <t>KLIPPAN</t>
        </is>
      </c>
      <c r="I19" t="n">
        <v>8.1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Havstulpanlav
Spillkråka
Skogsduva</t>
        </is>
      </c>
      <c r="W19">
        <f>HYPERLINK("https://klasma.github.io/Logging_1276/artfynd/A 54644-2023 artfynd.xlsx", "A 54644-2023")</f>
        <v/>
      </c>
      <c r="X19">
        <f>HYPERLINK("https://klasma.github.io/Logging_1276/kartor/A 54644-2023 karta.png", "A 54644-2023")</f>
        <v/>
      </c>
      <c r="Y19">
        <f>HYPERLINK("https://klasma.github.io/Logging_1276/kartor_geotiff/A 54644-2023 georefererad karta.tif", "A 54644-2023")</f>
        <v/>
      </c>
      <c r="AA19">
        <f>HYPERLINK("https://klasma.github.io/Logging_1276/klagomål/A 54644-2023 FSC-klagomål.docx", "A 54644-2023")</f>
        <v/>
      </c>
      <c r="AB19">
        <f>HYPERLINK("https://klasma.github.io/Logging_1276/klagomålsmail/A 54644-2023 FSC-klagomål mail.docx", "A 54644-2023")</f>
        <v/>
      </c>
      <c r="AC19">
        <f>HYPERLINK("https://klasma.github.io/Logging_1276/tillsyn/A 54644-2023 tillsynsbegäran.docx", "A 54644-2023")</f>
        <v/>
      </c>
      <c r="AD19">
        <f>HYPERLINK("https://klasma.github.io/Logging_1276/tillsynsmail/A 54644-2023 tillsynsbegäran mail.docx", "A 54644-2023")</f>
        <v/>
      </c>
      <c r="AE19">
        <f>HYPERLINK("https://klasma.github.io/Logging_1276/fåglar/A 54644-2023 prioriterade fågelarter.docx", "A 54644-2023")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46280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46280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46280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46280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46280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46280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44567-2025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46280</v>
      </c>
      <c r="F26" t="inlineStr">
        <is>
          <t>SKÅNE LÄN</t>
        </is>
      </c>
      <c r="G26" t="inlineStr">
        <is>
          <t>KLIPPAN</t>
        </is>
      </c>
      <c r="I26" t="n">
        <v>17.3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Grönsiska
Kråka</t>
        </is>
      </c>
      <c r="W26">
        <f>HYPERLINK("https://klasma.github.io/Logging_1276/artfynd/A 44567-2025 artfynd.xlsx", "A 44567-2025")</f>
        <v/>
      </c>
      <c r="X26">
        <f>HYPERLINK("https://klasma.github.io/Logging_1276/kartor/A 44567-2025 karta.png", "A 44567-2025")</f>
        <v/>
      </c>
      <c r="Y26">
        <f>HYPERLINK("https://klasma.github.io/Logging_1276/kartor_geotiff/A 44567-2025 georefererad karta.tif", "A 44567-2025")</f>
        <v/>
      </c>
      <c r="AA26">
        <f>HYPERLINK("https://klasma.github.io/Logging_1276/klagomål/A 44567-2025 FSC-klagomål.docx", "A 44567-2025")</f>
        <v/>
      </c>
      <c r="AB26">
        <f>HYPERLINK("https://klasma.github.io/Logging_1276/klagomålsmail/A 44567-2025 FSC-klagomål mail.docx", "A 44567-2025")</f>
        <v/>
      </c>
      <c r="AC26">
        <f>HYPERLINK("https://klasma.github.io/Logging_1276/tillsyn/A 44567-2025 tillsynsbegäran.docx", "A 44567-2025")</f>
        <v/>
      </c>
      <c r="AD26">
        <f>HYPERLINK("https://klasma.github.io/Logging_1276/tillsynsmail/A 44567-2025 tillsynsbegäran mail.docx", "A 44567-2025")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46280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20702-2023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45058</v>
      </c>
      <c r="E28" s="1" t="n">
        <v>46280</v>
      </c>
      <c r="F28" t="inlineStr">
        <is>
          <t>SKÅNE LÄN</t>
        </is>
      </c>
      <c r="G28" t="inlineStr">
        <is>
          <t>KLIPPAN</t>
        </is>
      </c>
      <c r="I28" t="n">
        <v>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Svinrot
Grönvit nattviol</t>
        </is>
      </c>
      <c r="W28">
        <f>HYPERLINK("https://klasma.github.io/Logging_1276/artfynd/A 20702-2023 artfynd.xlsx", "A 20702-2023")</f>
        <v/>
      </c>
      <c r="X28">
        <f>HYPERLINK("https://klasma.github.io/Logging_1276/kartor/A 20702-2023 karta.png", "A 20702-2023")</f>
        <v/>
      </c>
      <c r="Y28">
        <f>HYPERLINK("https://klasma.github.io/Logging_1276/kartor_geotiff/A 20702-2023 georefererad karta.tif", "A 20702-2023")</f>
        <v/>
      </c>
      <c r="AA28">
        <f>HYPERLINK("https://klasma.github.io/Logging_1276/klagomål/A 20702-2023 FSC-klagomål.docx", "A 20702-2023")</f>
        <v/>
      </c>
      <c r="AB28">
        <f>HYPERLINK("https://klasma.github.io/Logging_1276/klagomålsmail/A 20702-2023 FSC-klagomål mail.docx", "A 20702-2023")</f>
        <v/>
      </c>
      <c r="AC28">
        <f>HYPERLINK("https://klasma.github.io/Logging_1276/tillsyn/A 20702-2023 tillsynsbegäran.docx", "A 20702-2023")</f>
        <v/>
      </c>
      <c r="AD28">
        <f>HYPERLINK("https://klasma.github.io/Logging_1276/tillsynsmail/A 20702-2023 tillsynsbegäran mail.docx", "A 20702-2023")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46280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46280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46280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6446-2026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46280</v>
      </c>
      <c r="F32" t="inlineStr">
        <is>
          <t>SKÅNE LÄN</t>
        </is>
      </c>
      <c r="G32" t="inlineStr">
        <is>
          <t>KLIPPAN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HYPERLINK("https://klasma.github.io/Logging_1276/artfynd/A 6446-2026 artfynd.xlsx", "A 6446-2026")</f>
        <v/>
      </c>
      <c r="X32">
        <f>HYPERLINK("https://klasma.github.io/Logging_1276/kartor/A 6446-2026 karta.png", "A 6446-2026")</f>
        <v/>
      </c>
      <c r="Y32">
        <f>HYPERLINK("https://klasma.github.io/Logging_1276/kartor_geotiff/A 6446-2026 georefererad karta.tif", "A 6446-2026")</f>
        <v/>
      </c>
      <c r="AA32">
        <f>HYPERLINK("https://klasma.github.io/Logging_1276/klagomål/A 6446-2026 FSC-klagomål.docx", "A 6446-2026")</f>
        <v/>
      </c>
      <c r="AB32">
        <f>HYPERLINK("https://klasma.github.io/Logging_1276/klagomålsmail/A 6446-2026 FSC-klagomål mail.docx", "A 6446-2026")</f>
        <v/>
      </c>
      <c r="AC32">
        <f>HYPERLINK("https://klasma.github.io/Logging_1276/tillsyn/A 6446-2026 tillsynsbegäran.docx", "A 6446-2026")</f>
        <v/>
      </c>
      <c r="AD32">
        <f>HYPERLINK("https://klasma.github.io/Logging_1276/tillsynsmail/A 6446-2026 tillsynsbegäran mail.docx", "A 6446-2026")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46280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14892-2023 artfynd.xlsx", "A 14892-2023")</f>
        <v/>
      </c>
      <c r="X33">
        <f>HYPERLINK("https://klasma.github.io/Logging_1276/kartor/A 14892-2023 karta.png", "A 14892-2023")</f>
        <v/>
      </c>
      <c r="Y33">
        <f>HYPERLINK("https://klasma.github.io/Logging_1276/kartor_geotiff/A 14892-2023 georefererad karta.tif", "A 14892-2023")</f>
        <v/>
      </c>
      <c r="AA33">
        <f>HYPERLINK("https://klasma.github.io/Logging_1276/klagomål/A 14892-2023 FSC-klagomål.docx", "A 14892-2023")</f>
        <v/>
      </c>
      <c r="AB33">
        <f>HYPERLINK("https://klasma.github.io/Logging_1276/klagomålsmail/A 14892-2023 FSC-klagomål mail.docx", "A 14892-2023")</f>
        <v/>
      </c>
      <c r="AC33">
        <f>HYPERLINK("https://klasma.github.io/Logging_1276/tillsyn/A 14892-2023 tillsynsbegäran.docx", "A 14892-2023")</f>
        <v/>
      </c>
      <c r="AD33">
        <f>HYPERLINK("https://klasma.github.io/Logging_1276/tillsynsmail/A 14892-2023 tillsynsbegäran mail.docx", "A 14892-2023")</f>
        <v/>
      </c>
      <c r="AE33">
        <f>HYPERLINK("https://klasma.github.io/Logging_1276/fåglar/A 14892-2023 prioriterade fågelarter.docx", "A 14892-2023")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46280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HYPERLINK("https://klasma.github.io/Logging_1276/artfynd/A 61058-2025 artfynd.xlsx", "A 61058-2025")</f>
        <v/>
      </c>
      <c r="X34">
        <f>HYPERLINK("https://klasma.github.io/Logging_1276/kartor/A 61058-2025 karta.png", "A 61058-2025")</f>
        <v/>
      </c>
      <c r="Y34">
        <f>HYPERLINK("https://klasma.github.io/Logging_1276/kartor_geotiff/A 61058-2025 georefererad karta.tif", "A 61058-2025")</f>
        <v/>
      </c>
      <c r="AA34">
        <f>HYPERLINK("https://klasma.github.io/Logging_1276/klagomål/A 61058-2025 FSC-klagomål.docx", "A 61058-2025")</f>
        <v/>
      </c>
      <c r="AB34">
        <f>HYPERLINK("https://klasma.github.io/Logging_1276/klagomålsmail/A 61058-2025 FSC-klagomål mail.docx", "A 61058-2025")</f>
        <v/>
      </c>
      <c r="AC34">
        <f>HYPERLINK("https://klasma.github.io/Logging_1276/tillsyn/A 61058-2025 tillsynsbegäran.docx", "A 61058-2025")</f>
        <v/>
      </c>
      <c r="AD34">
        <f>HYPERLINK("https://klasma.github.io/Logging_1276/tillsynsmail/A 61058-2025 tillsynsbegäran mail.docx", "A 61058-2025")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46280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21788-2026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46280</v>
      </c>
      <c r="F36" t="inlineStr">
        <is>
          <t>SKÅNE LÄN</t>
        </is>
      </c>
      <c r="G36" t="inlineStr">
        <is>
          <t>KLIPPAN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Bäckbräsma</t>
        </is>
      </c>
      <c r="W36">
        <f>HYPERLINK("https://klasma.github.io/Logging_1276/artfynd/A 21788-2026 artfynd.xlsx", "A 21788-2026")</f>
        <v/>
      </c>
      <c r="X36">
        <f>HYPERLINK("https://klasma.github.io/Logging_1276/kartor/A 21788-2026 karta.png", "A 21788-2026")</f>
        <v/>
      </c>
      <c r="Y36">
        <f>HYPERLINK("https://klasma.github.io/Logging_1276/kartor_geotiff/A 21788-2026 georefererad karta.tif", "A 21788-2026")</f>
        <v/>
      </c>
      <c r="AA36">
        <f>HYPERLINK("https://klasma.github.io/Logging_1276/klagomål/A 21788-2026 FSC-klagomål.docx", "A 21788-2026")</f>
        <v/>
      </c>
      <c r="AB36">
        <f>HYPERLINK("https://klasma.github.io/Logging_1276/klagomålsmail/A 21788-2026 FSC-klagomål mail.docx", "A 21788-2026")</f>
        <v/>
      </c>
      <c r="AC36">
        <f>HYPERLINK("https://klasma.github.io/Logging_1276/tillsyn/A 21788-2026 tillsynsbegäran.docx", "A 21788-2026")</f>
        <v/>
      </c>
      <c r="AD36">
        <f>HYPERLINK("https://klasma.github.io/Logging_1276/tillsynsmail/A 21788-2026 tillsynsbegäran mail.docx", "A 21788-2026")</f>
        <v/>
      </c>
    </row>
    <row r="37" ht="15" customHeight="1">
      <c r="A37" t="inlineStr">
        <is>
          <t>A 31279-2026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46280</v>
      </c>
      <c r="F37" t="inlineStr">
        <is>
          <t>SKÅNE LÄN</t>
        </is>
      </c>
      <c r="G37" t="inlineStr">
        <is>
          <t>KLIPPAN</t>
        </is>
      </c>
      <c r="I37" t="n">
        <v>2.3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Dvärghäxört</t>
        </is>
      </c>
      <c r="W37">
        <f>HYPERLINK("https://klasma.github.io/Logging_1276/artfynd/A 31279-2026 artfynd.xlsx", "A 31279-2026")</f>
        <v/>
      </c>
      <c r="X37">
        <f>HYPERLINK("https://klasma.github.io/Logging_1276/kartor/A 31279-2026 karta.png", "A 31279-2026")</f>
        <v/>
      </c>
      <c r="Y37">
        <f>HYPERLINK("https://klasma.github.io/Logging_1276/kartor_geotiff/A 31279-2026 georefererad karta.tif", "A 31279-2026")</f>
        <v/>
      </c>
      <c r="AA37">
        <f>HYPERLINK("https://klasma.github.io/Logging_1276/klagomål/A 31279-2026 FSC-klagomål.docx", "A 31279-2026")</f>
        <v/>
      </c>
      <c r="AB37">
        <f>HYPERLINK("https://klasma.github.io/Logging_1276/klagomålsmail/A 31279-2026 FSC-klagomål mail.docx", "A 31279-2026")</f>
        <v/>
      </c>
      <c r="AC37">
        <f>HYPERLINK("https://klasma.github.io/Logging_1276/tillsyn/A 31279-2026 tillsynsbegäran.docx", "A 31279-2026")</f>
        <v/>
      </c>
      <c r="AD37">
        <f>HYPERLINK("https://klasma.github.io/Logging_1276/tillsynsmail/A 31279-2026 tillsynsbegäran mail.docx", "A 31279-2026")</f>
        <v/>
      </c>
    </row>
    <row r="38" ht="15" customHeight="1">
      <c r="A38" t="inlineStr">
        <is>
          <t>A 15810-2024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45404</v>
      </c>
      <c r="E38" s="1" t="n">
        <v>46280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HYPERLINK("https://klasma.github.io/Logging_1276/artfynd/A 15810-2024 artfynd.xlsx", "A 15810-2024")</f>
        <v/>
      </c>
      <c r="X38">
        <f>HYPERLINK("https://klasma.github.io/Logging_1276/kartor/A 15810-2024 karta.png", "A 15810-2024")</f>
        <v/>
      </c>
      <c r="Y38">
        <f>HYPERLINK("https://klasma.github.io/Logging_1276/kartor_geotiff/A 15810-2024 georefererad karta.tif", "A 15810-2024")</f>
        <v/>
      </c>
      <c r="AA38">
        <f>HYPERLINK("https://klasma.github.io/Logging_1276/klagomål/A 15810-2024 FSC-klagomål.docx", "A 15810-2024")</f>
        <v/>
      </c>
      <c r="AB38">
        <f>HYPERLINK("https://klasma.github.io/Logging_1276/klagomålsmail/A 15810-2024 FSC-klagomål mail.docx", "A 15810-2024")</f>
        <v/>
      </c>
      <c r="AC38">
        <f>HYPERLINK("https://klasma.github.io/Logging_1276/tillsyn/A 15810-2024 tillsynsbegäran.docx", "A 15810-2024")</f>
        <v/>
      </c>
      <c r="AD38">
        <f>HYPERLINK("https://klasma.github.io/Logging_1276/tillsynsmail/A 15810-2024 tillsynsbegäran mail.docx", "A 15810-2024")</f>
        <v/>
      </c>
    </row>
    <row r="39" ht="15" customHeight="1">
      <c r="A39" t="inlineStr">
        <is>
          <t>A 44885-2022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44841</v>
      </c>
      <c r="E39" s="1" t="n">
        <v>46280</v>
      </c>
      <c r="F39" t="inlineStr">
        <is>
          <t>SKÅNE LÄN</t>
        </is>
      </c>
      <c r="G39" t="inlineStr">
        <is>
          <t>KLIPPAN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Blåmossa</t>
        </is>
      </c>
      <c r="W39">
        <f>HYPERLINK("https://klasma.github.io/Logging_1276/artfynd/A 44885-2022 artfynd.xlsx", "A 44885-2022")</f>
        <v/>
      </c>
      <c r="X39">
        <f>HYPERLINK("https://klasma.github.io/Logging_1276/kartor/A 44885-2022 karta.png", "A 44885-2022")</f>
        <v/>
      </c>
      <c r="Y39">
        <f>HYPERLINK("https://klasma.github.io/Logging_1276/kartor_geotiff/A 44885-2022 georefererad karta.tif", "A 44885-2022")</f>
        <v/>
      </c>
      <c r="AA39">
        <f>HYPERLINK("https://klasma.github.io/Logging_1276/klagomål/A 44885-2022 FSC-klagomål.docx", "A 44885-2022")</f>
        <v/>
      </c>
      <c r="AB39">
        <f>HYPERLINK("https://klasma.github.io/Logging_1276/klagomålsmail/A 44885-2022 FSC-klagomål mail.docx", "A 44885-2022")</f>
        <v/>
      </c>
      <c r="AC39">
        <f>HYPERLINK("https://klasma.github.io/Logging_1276/tillsyn/A 44885-2022 tillsynsbegäran.docx", "A 44885-2022")</f>
        <v/>
      </c>
      <c r="AD39">
        <f>HYPERLINK("https://klasma.github.io/Logging_1276/tillsynsmail/A 44885-2022 tillsynsbegäran mail.docx", "A 44885-2022")</f>
        <v/>
      </c>
    </row>
    <row r="40" ht="15" customHeight="1">
      <c r="A40" t="inlineStr">
        <is>
          <t>A 46147-2022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46280</v>
      </c>
      <c r="F40" t="inlineStr">
        <is>
          <t>SKÅNE LÄN</t>
        </is>
      </c>
      <c r="G40" t="inlineStr">
        <is>
          <t>KLIPPAN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Västlig hakmossa</t>
        </is>
      </c>
      <c r="W40">
        <f>HYPERLINK("https://klasma.github.io/Logging_1276/artfynd/A 46147-2022 artfynd.xlsx", "A 46147-2022")</f>
        <v/>
      </c>
      <c r="X40">
        <f>HYPERLINK("https://klasma.github.io/Logging_1276/kartor/A 46147-2022 karta.png", "A 46147-2022")</f>
        <v/>
      </c>
      <c r="Y40">
        <f>HYPERLINK("https://klasma.github.io/Logging_1276/kartor_geotiff/A 46147-2022 georefererad karta.tif", "A 46147-2022")</f>
        <v/>
      </c>
      <c r="AA40">
        <f>HYPERLINK("https://klasma.github.io/Logging_1276/klagomål/A 46147-2022 FSC-klagomål.docx", "A 46147-2022")</f>
        <v/>
      </c>
      <c r="AB40">
        <f>HYPERLINK("https://klasma.github.io/Logging_1276/klagomålsmail/A 46147-2022 FSC-klagomål mail.docx", "A 46147-2022")</f>
        <v/>
      </c>
      <c r="AC40">
        <f>HYPERLINK("https://klasma.github.io/Logging_1276/tillsyn/A 46147-2022 tillsynsbegäran.docx", "A 46147-2022")</f>
        <v/>
      </c>
      <c r="AD40">
        <f>HYPERLINK("https://klasma.github.io/Logging_1276/tillsynsmail/A 46147-2022 tillsynsbegäran mail.docx", "A 46147-2022")</f>
        <v/>
      </c>
    </row>
    <row r="41" ht="15" customHeight="1">
      <c r="A41" t="inlineStr">
        <is>
          <t>A 10000-2025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45719</v>
      </c>
      <c r="E41" s="1" t="n">
        <v>46280</v>
      </c>
      <c r="F41" t="inlineStr">
        <is>
          <t>SKÅNE LÄN</t>
        </is>
      </c>
      <c r="G41" t="inlineStr">
        <is>
          <t>KLIPPAN</t>
        </is>
      </c>
      <c r="I41" t="n">
        <v>2.6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10000-2025 artfynd.xlsx", "A 10000-2025")</f>
        <v/>
      </c>
      <c r="X41">
        <f>HYPERLINK("https://klasma.github.io/Logging_1276/kartor/A 10000-2025 karta.png", "A 10000-2025")</f>
        <v/>
      </c>
      <c r="Y41">
        <f>HYPERLINK("https://klasma.github.io/Logging_1276/kartor_geotiff/A 10000-2025 georefererad karta.tif", "A 10000-2025")</f>
        <v/>
      </c>
      <c r="AA41">
        <f>HYPERLINK("https://klasma.github.io/Logging_1276/klagomål/A 10000-2025 FSC-klagomål.docx", "A 10000-2025")</f>
        <v/>
      </c>
      <c r="AB41">
        <f>HYPERLINK("https://klasma.github.io/Logging_1276/klagomålsmail/A 10000-2025 FSC-klagomål mail.docx", "A 10000-2025")</f>
        <v/>
      </c>
      <c r="AC41">
        <f>HYPERLINK("https://klasma.github.io/Logging_1276/tillsyn/A 10000-2025 tillsynsbegäran.docx", "A 10000-2025")</f>
        <v/>
      </c>
      <c r="AD41">
        <f>HYPERLINK("https://klasma.github.io/Logging_1276/tillsynsmail/A 10000-2025 tillsynsbegäran mail.docx", "A 10000-2025")</f>
        <v/>
      </c>
    </row>
    <row r="42" ht="15" customHeight="1">
      <c r="A42" t="inlineStr">
        <is>
          <t>A 51276-2024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46280</v>
      </c>
      <c r="F42" t="inlineStr">
        <is>
          <t>SKÅNE LÄN</t>
        </is>
      </c>
      <c r="G42" t="inlineStr">
        <is>
          <t>KLIPPAN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Rutskinn</t>
        </is>
      </c>
      <c r="W42">
        <f>HYPERLINK("https://klasma.github.io/Logging_1276/artfynd/A 51276-2024 artfynd.xlsx", "A 51276-2024")</f>
        <v/>
      </c>
      <c r="X42">
        <f>HYPERLINK("https://klasma.github.io/Logging_1276/kartor/A 51276-2024 karta.png", "A 51276-2024")</f>
        <v/>
      </c>
      <c r="Y42">
        <f>HYPERLINK("https://klasma.github.io/Logging_1276/kartor_geotiff/A 51276-2024 georefererad karta.tif", "A 51276-2024")</f>
        <v/>
      </c>
      <c r="AA42">
        <f>HYPERLINK("https://klasma.github.io/Logging_1276/klagomål/A 51276-2024 FSC-klagomål.docx", "A 51276-2024")</f>
        <v/>
      </c>
      <c r="AB42">
        <f>HYPERLINK("https://klasma.github.io/Logging_1276/klagomålsmail/A 51276-2024 FSC-klagomål mail.docx", "A 51276-2024")</f>
        <v/>
      </c>
      <c r="AC42">
        <f>HYPERLINK("https://klasma.github.io/Logging_1276/tillsyn/A 51276-2024 tillsynsbegäran.docx", "A 51276-2024")</f>
        <v/>
      </c>
      <c r="AD42">
        <f>HYPERLINK("https://klasma.github.io/Logging_1276/tillsynsmail/A 51276-2024 tillsynsbegäran mail.docx", "A 51276-2024")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46280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46280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46280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S 2025-2022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44665</v>
      </c>
      <c r="E46" s="1" t="n">
        <v>46280</v>
      </c>
      <c r="F46" t="inlineStr">
        <is>
          <t>SKÅNE LÄN</t>
        </is>
      </c>
      <c r="G46" t="inlineStr">
        <is>
          <t>KLIPPAN</t>
        </is>
      </c>
      <c r="I46" t="n">
        <v>13.5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HYPERLINK("https://klasma.github.io/Logging_1276/artfynd/S 2025-2022 artfynd.xlsx", "S 2025-2022")</f>
        <v/>
      </c>
      <c r="X46">
        <f>HYPERLINK("https://klasma.github.io/Logging_1276/kartor/S 2025-2022 karta.png", "S 2025-2022")</f>
        <v/>
      </c>
      <c r="Y46">
        <f>HYPERLINK("https://klasma.github.io/Logging_1276/kartor_geotiff/S 2025-2022 georefererad karta.tif", "S 2025-2022")</f>
        <v/>
      </c>
      <c r="AA46">
        <f>HYPERLINK("https://klasma.github.io/Logging_1276/klagomål/S 2025-2022 FSC-klagomål.docx", "S 2025-2022")</f>
        <v/>
      </c>
      <c r="AB46">
        <f>HYPERLINK("https://klasma.github.io/Logging_1276/klagomålsmail/S 2025-2022 FSC-klagomål mail.docx", "S 2025-2022")</f>
        <v/>
      </c>
      <c r="AC46">
        <f>HYPERLINK("https://klasma.github.io/Logging_1276/tillsyn/S 2025-2022 tillsynsbegäran.docx", "S 2025-2022")</f>
        <v/>
      </c>
      <c r="AD46">
        <f>HYPERLINK("https://klasma.github.io/Logging_1276/tillsynsmail/S 2025-2022 tillsynsbegäran mail.docx", "S 2025-2022")</f>
        <v/>
      </c>
    </row>
    <row r="47" ht="15" customHeight="1">
      <c r="A47" t="inlineStr">
        <is>
          <t>A 55629-2022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46280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46280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44596</v>
      </c>
      <c r="E49" s="1" t="n">
        <v>46280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58633-2021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46280</v>
      </c>
      <c r="F50" t="inlineStr">
        <is>
          <t>SKÅNE LÄN</t>
        </is>
      </c>
      <c r="G50" t="inlineStr">
        <is>
          <t>KLIPPAN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19097-2022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46280</v>
      </c>
      <c r="F51" t="inlineStr">
        <is>
          <t>SKÅNE LÄN</t>
        </is>
      </c>
      <c r="G51" t="inlineStr">
        <is>
          <t>KLIPPAN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46280</v>
      </c>
      <c r="F52" t="inlineStr">
        <is>
          <t>SKÅNE LÄN</t>
        </is>
      </c>
      <c r="G52" t="inlineStr">
        <is>
          <t>KLIPPAN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46280</v>
      </c>
      <c r="F53" t="inlineStr">
        <is>
          <t>SKÅNE LÄN</t>
        </is>
      </c>
      <c r="G53" t="inlineStr">
        <is>
          <t>KLIPPAN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46280</v>
      </c>
      <c r="F54" t="inlineStr">
        <is>
          <t>SKÅNE LÄN</t>
        </is>
      </c>
      <c r="G54" t="inlineStr">
        <is>
          <t>KLIPPAN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46280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46280</v>
      </c>
      <c r="F56" t="inlineStr">
        <is>
          <t>SKÅNE LÄN</t>
        </is>
      </c>
      <c r="G56" t="inlineStr">
        <is>
          <t>KLIPPAN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46280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46280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46280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46280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46280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46280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46280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46280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46280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46280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46280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45660</v>
      </c>
      <c r="E68" s="1" t="n">
        <v>46280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45079</v>
      </c>
      <c r="E69" s="1" t="n">
        <v>46280</v>
      </c>
      <c r="F69" t="inlineStr">
        <is>
          <t>SKÅNE LÄN</t>
        </is>
      </c>
      <c r="G69" t="inlineStr">
        <is>
          <t>KLIPPAN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44880</v>
      </c>
      <c r="E70" s="1" t="n">
        <v>46280</v>
      </c>
      <c r="F70" t="inlineStr">
        <is>
          <t>SKÅNE LÄN</t>
        </is>
      </c>
      <c r="G70" t="inlineStr">
        <is>
          <t>KLIPPAN</t>
        </is>
      </c>
      <c r="I70" t="n">
        <v>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34051-2024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45523</v>
      </c>
      <c r="E71" s="1" t="n">
        <v>46280</v>
      </c>
      <c r="F71" t="inlineStr">
        <is>
          <t>SKÅNE LÄN</t>
        </is>
      </c>
      <c r="G71" t="inlineStr">
        <is>
          <t>KLIPPAN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44944</v>
      </c>
      <c r="E72" s="1" t="n">
        <v>46280</v>
      </c>
      <c r="F72" t="inlineStr">
        <is>
          <t>SKÅNE LÄN</t>
        </is>
      </c>
      <c r="G72" t="inlineStr">
        <is>
          <t>KLIPPAN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37967-2024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45544</v>
      </c>
      <c r="E73" s="1" t="n">
        <v>46280</v>
      </c>
      <c r="F73" t="inlineStr">
        <is>
          <t>SKÅNE LÄN</t>
        </is>
      </c>
      <c r="G73" t="inlineStr">
        <is>
          <t>KLIPPAN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28844-2023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45104</v>
      </c>
      <c r="E74" s="1" t="n">
        <v>46280</v>
      </c>
      <c r="F74" t="inlineStr">
        <is>
          <t>SKÅNE LÄN</t>
        </is>
      </c>
      <c r="G74" t="inlineStr">
        <is>
          <t>KLIPPAN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44228-2024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45573</v>
      </c>
      <c r="E75" s="1" t="n">
        <v>46280</v>
      </c>
      <c r="F75" t="inlineStr">
        <is>
          <t>SKÅNE LÄN</t>
        </is>
      </c>
      <c r="G75" t="inlineStr">
        <is>
          <t>KLIPPAN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46280</v>
      </c>
      <c r="F76" t="inlineStr">
        <is>
          <t>SKÅNE LÄN</t>
        </is>
      </c>
      <c r="G76" t="inlineStr">
        <is>
          <t>KLIPPAN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69394-2021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44531</v>
      </c>
      <c r="E77" s="1" t="n">
        <v>46280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44930</v>
      </c>
      <c r="E78" s="1" t="n">
        <v>46280</v>
      </c>
      <c r="F78" t="inlineStr">
        <is>
          <t>SKÅNE LÄN</t>
        </is>
      </c>
      <c r="G78" t="inlineStr">
        <is>
          <t>KLIPPAN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45519</v>
      </c>
      <c r="E79" s="1" t="n">
        <v>46280</v>
      </c>
      <c r="F79" t="inlineStr">
        <is>
          <t>SKÅNE LÄN</t>
        </is>
      </c>
      <c r="G79" t="inlineStr">
        <is>
          <t>KLIPPAN</t>
        </is>
      </c>
      <c r="H79" t="inlineStr">
        <is>
          <t>Sveaskog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45328</v>
      </c>
      <c r="E80" s="1" t="n">
        <v>46280</v>
      </c>
      <c r="F80" t="inlineStr">
        <is>
          <t>SKÅNE LÄN</t>
        </is>
      </c>
      <c r="G80" t="inlineStr">
        <is>
          <t>KLIPPAN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46280</v>
      </c>
      <c r="F81" t="inlineStr">
        <is>
          <t>SKÅNE LÄN</t>
        </is>
      </c>
      <c r="G81" t="inlineStr">
        <is>
          <t>KLIPPAN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46280</v>
      </c>
      <c r="F82" t="inlineStr">
        <is>
          <t>SKÅNE LÄN</t>
        </is>
      </c>
      <c r="G82" t="inlineStr">
        <is>
          <t>KLIPPAN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46027</v>
      </c>
      <c r="E83" s="1" t="n">
        <v>46280</v>
      </c>
      <c r="F83" t="inlineStr">
        <is>
          <t>SKÅNE LÄN</t>
        </is>
      </c>
      <c r="G83" t="inlineStr">
        <is>
          <t>KLIPPAN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45399</v>
      </c>
      <c r="E84" s="1" t="n">
        <v>46280</v>
      </c>
      <c r="F84" t="inlineStr">
        <is>
          <t>SKÅNE LÄN</t>
        </is>
      </c>
      <c r="G84" t="inlineStr">
        <is>
          <t>KLIPPAN</t>
        </is>
      </c>
      <c r="H84" t="inlineStr">
        <is>
          <t>Övriga Aktiebolag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46280</v>
      </c>
      <c r="F85" t="inlineStr">
        <is>
          <t>SKÅNE LÄN</t>
        </is>
      </c>
      <c r="G85" t="inlineStr">
        <is>
          <t>KLIPPAN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27898-2025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46280</v>
      </c>
      <c r="F86" t="inlineStr">
        <is>
          <t>SKÅNE LÄN</t>
        </is>
      </c>
      <c r="G86" t="inlineStr">
        <is>
          <t>KLIPPAN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46280</v>
      </c>
      <c r="F87" t="inlineStr">
        <is>
          <t>SKÅNE LÄN</t>
        </is>
      </c>
      <c r="G87" t="inlineStr">
        <is>
          <t>KLIPPAN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45094</v>
      </c>
      <c r="E88" s="1" t="n">
        <v>46280</v>
      </c>
      <c r="F88" t="inlineStr">
        <is>
          <t>SKÅNE LÄN</t>
        </is>
      </c>
      <c r="G88" t="inlineStr">
        <is>
          <t>KLIPPAN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45163</v>
      </c>
      <c r="E89" s="1" t="n">
        <v>46280</v>
      </c>
      <c r="F89" t="inlineStr">
        <is>
          <t>SKÅNE LÄN</t>
        </is>
      </c>
      <c r="G89" t="inlineStr">
        <is>
          <t>KLIPPAN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46280</v>
      </c>
      <c r="F90" t="inlineStr">
        <is>
          <t>SKÅNE LÄN</t>
        </is>
      </c>
      <c r="G90" t="inlineStr">
        <is>
          <t>KLIPPAN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46280</v>
      </c>
      <c r="F91" t="inlineStr">
        <is>
          <t>SKÅNE LÄN</t>
        </is>
      </c>
      <c r="G91" t="inlineStr">
        <is>
          <t>KLIPPAN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43855-2022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44838</v>
      </c>
      <c r="E92" s="1" t="n">
        <v>46280</v>
      </c>
      <c r="F92" t="inlineStr">
        <is>
          <t>SKÅNE LÄN</t>
        </is>
      </c>
      <c r="G92" t="inlineStr">
        <is>
          <t>KLIPPAN</t>
        </is>
      </c>
      <c r="H92" t="inlineStr">
        <is>
          <t>Sveaskog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46280</v>
      </c>
      <c r="F93" t="inlineStr">
        <is>
          <t>SKÅNE LÄN</t>
        </is>
      </c>
      <c r="G93" t="inlineStr">
        <is>
          <t>KLIPPAN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46280</v>
      </c>
      <c r="F94" t="inlineStr">
        <is>
          <t>SKÅNE LÄN</t>
        </is>
      </c>
      <c r="G94" t="inlineStr">
        <is>
          <t>KLIPPAN</t>
        </is>
      </c>
      <c r="I94" t="n">
        <v>7.9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45905</v>
      </c>
      <c r="E95" s="1" t="n">
        <v>46280</v>
      </c>
      <c r="F95" t="inlineStr">
        <is>
          <t>SKÅNE LÄN</t>
        </is>
      </c>
      <c r="G95" t="inlineStr">
        <is>
          <t>KLIPPAN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29284-2025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45824</v>
      </c>
      <c r="E96" s="1" t="n">
        <v>46280</v>
      </c>
      <c r="F96" t="inlineStr">
        <is>
          <t>SKÅNE LÄN</t>
        </is>
      </c>
      <c r="G96" t="inlineStr">
        <is>
          <t>KLIPPAN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45086</v>
      </c>
      <c r="E97" s="1" t="n">
        <v>46280</v>
      </c>
      <c r="F97" t="inlineStr">
        <is>
          <t>SKÅNE LÄN</t>
        </is>
      </c>
      <c r="G97" t="inlineStr">
        <is>
          <t>KLIPPAN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45847</v>
      </c>
      <c r="E98" s="1" t="n">
        <v>46280</v>
      </c>
      <c r="F98" t="inlineStr">
        <is>
          <t>SKÅNE LÄN</t>
        </is>
      </c>
      <c r="G98" t="inlineStr">
        <is>
          <t>KLIPPAN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46280</v>
      </c>
      <c r="F99" t="inlineStr">
        <is>
          <t>SKÅNE LÄN</t>
        </is>
      </c>
      <c r="G99" t="inlineStr">
        <is>
          <t>KLIPPAN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46280</v>
      </c>
      <c r="F100" t="inlineStr">
        <is>
          <t>SKÅNE LÄN</t>
        </is>
      </c>
      <c r="G100" t="inlineStr">
        <is>
          <t>KLIPPAN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46280</v>
      </c>
      <c r="F101" t="inlineStr">
        <is>
          <t>SKÅNE LÄN</t>
        </is>
      </c>
      <c r="G101" t="inlineStr">
        <is>
          <t>KLIPPAN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46280</v>
      </c>
      <c r="F102" t="inlineStr">
        <is>
          <t>SKÅNE LÄN</t>
        </is>
      </c>
      <c r="G102" t="inlineStr">
        <is>
          <t>KLIPPAN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45785</v>
      </c>
      <c r="E103" s="1" t="n">
        <v>46280</v>
      </c>
      <c r="F103" t="inlineStr">
        <is>
          <t>SKÅNE LÄN</t>
        </is>
      </c>
      <c r="G103" t="inlineStr">
        <is>
          <t>KLIPPAN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46280</v>
      </c>
      <c r="F104" t="inlineStr">
        <is>
          <t>SKÅNE LÄN</t>
        </is>
      </c>
      <c r="G104" t="inlineStr">
        <is>
          <t>KLIPPAN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46280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46071</v>
      </c>
      <c r="E106" s="1" t="n">
        <v>46280</v>
      </c>
      <c r="F106" t="inlineStr">
        <is>
          <t>SKÅNE LÄN</t>
        </is>
      </c>
      <c r="G106" t="inlineStr">
        <is>
          <t>KLIPPAN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45260</v>
      </c>
      <c r="E107" s="1" t="n">
        <v>46280</v>
      </c>
      <c r="F107" t="inlineStr">
        <is>
          <t>SKÅNE LÄN</t>
        </is>
      </c>
      <c r="G107" t="inlineStr">
        <is>
          <t>KLIPPAN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46280</v>
      </c>
      <c r="F108" t="inlineStr">
        <is>
          <t>SKÅNE LÄN</t>
        </is>
      </c>
      <c r="G108" t="inlineStr">
        <is>
          <t>KLIPPAN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23681-2023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45077</v>
      </c>
      <c r="E109" s="1" t="n">
        <v>46280</v>
      </c>
      <c r="F109" t="inlineStr">
        <is>
          <t>SKÅNE LÄN</t>
        </is>
      </c>
      <c r="G109" t="inlineStr">
        <is>
          <t>KLIPPAN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46280</v>
      </c>
      <c r="F110" t="inlineStr">
        <is>
          <t>SKÅNE LÄN</t>
        </is>
      </c>
      <c r="G110" t="inlineStr">
        <is>
          <t>KLIPPAN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28490-2023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46280</v>
      </c>
      <c r="F111" t="inlineStr">
        <is>
          <t>SKÅNE LÄN</t>
        </is>
      </c>
      <c r="G111" t="inlineStr">
        <is>
          <t>KLIPPAN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46280</v>
      </c>
      <c r="F112" t="inlineStr">
        <is>
          <t>SKÅNE LÄN</t>
        </is>
      </c>
      <c r="G112" t="inlineStr">
        <is>
          <t>KLIPPAN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45894</v>
      </c>
      <c r="E113" s="1" t="n">
        <v>46280</v>
      </c>
      <c r="F113" t="inlineStr">
        <is>
          <t>SKÅNE LÄN</t>
        </is>
      </c>
      <c r="G113" t="inlineStr">
        <is>
          <t>KLIPPAN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44891-2022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46280</v>
      </c>
      <c r="F114" t="inlineStr">
        <is>
          <t>SKÅNE LÄN</t>
        </is>
      </c>
      <c r="G114" t="inlineStr">
        <is>
          <t>KLIPPAN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46280</v>
      </c>
      <c r="F115" t="inlineStr">
        <is>
          <t>SKÅNE LÄN</t>
        </is>
      </c>
      <c r="G115" t="inlineStr">
        <is>
          <t>KLIPPAN</t>
        </is>
      </c>
      <c r="H115" t="inlineStr">
        <is>
          <t>Övriga Aktiebolag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51396-2025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45950</v>
      </c>
      <c r="E116" s="1" t="n">
        <v>46280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45739</v>
      </c>
      <c r="E117" s="1" t="n">
        <v>46280</v>
      </c>
      <c r="F117" t="inlineStr">
        <is>
          <t>SKÅNE LÄN</t>
        </is>
      </c>
      <c r="G117" t="inlineStr">
        <is>
          <t>KLIPPAN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44817</v>
      </c>
      <c r="E118" s="1" t="n">
        <v>46280</v>
      </c>
      <c r="F118" t="inlineStr">
        <is>
          <t>SKÅNE LÄN</t>
        </is>
      </c>
      <c r="G118" t="inlineStr">
        <is>
          <t>KLIPPAN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44991</v>
      </c>
      <c r="E119" s="1" t="n">
        <v>46280</v>
      </c>
      <c r="F119" t="inlineStr">
        <is>
          <t>SKÅNE LÄN</t>
        </is>
      </c>
      <c r="G119" t="inlineStr">
        <is>
          <t>KLIPPAN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45581</v>
      </c>
      <c r="E120" s="1" t="n">
        <v>46280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46280</v>
      </c>
      <c r="F121" t="inlineStr">
        <is>
          <t>SKÅNE LÄN</t>
        </is>
      </c>
      <c r="G121" t="inlineStr">
        <is>
          <t>KLIPPAN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46280</v>
      </c>
      <c r="F122" t="inlineStr">
        <is>
          <t>SKÅNE LÄN</t>
        </is>
      </c>
      <c r="G122" t="inlineStr">
        <is>
          <t>KLIPPAN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45055</v>
      </c>
      <c r="E123" s="1" t="n">
        <v>46280</v>
      </c>
      <c r="F123" t="inlineStr">
        <is>
          <t>SKÅNE LÄN</t>
        </is>
      </c>
      <c r="G123" t="inlineStr">
        <is>
          <t>KLIPPAN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45155</v>
      </c>
      <c r="E124" s="1" t="n">
        <v>46280</v>
      </c>
      <c r="F124" t="inlineStr">
        <is>
          <t>SKÅNE LÄN</t>
        </is>
      </c>
      <c r="G124" t="inlineStr">
        <is>
          <t>KLIPPAN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55588-2021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46280</v>
      </c>
      <c r="F125" t="inlineStr">
        <is>
          <t>SKÅNE LÄN</t>
        </is>
      </c>
      <c r="G125" t="inlineStr">
        <is>
          <t>KLIPPAN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45224</v>
      </c>
      <c r="E126" s="1" t="n">
        <v>46280</v>
      </c>
      <c r="F126" t="inlineStr">
        <is>
          <t>SKÅNE LÄN</t>
        </is>
      </c>
      <c r="G126" t="inlineStr">
        <is>
          <t>KLIPPAN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46280</v>
      </c>
      <c r="F127" t="inlineStr">
        <is>
          <t>SKÅNE LÄN</t>
        </is>
      </c>
      <c r="G127" t="inlineStr">
        <is>
          <t>KLIPPAN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45972</v>
      </c>
      <c r="E128" s="1" t="n">
        <v>46280</v>
      </c>
      <c r="F128" t="inlineStr">
        <is>
          <t>SKÅNE LÄN</t>
        </is>
      </c>
      <c r="G128" t="inlineStr">
        <is>
          <t>KLIPPAN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46280</v>
      </c>
      <c r="F129" t="inlineStr">
        <is>
          <t>SKÅNE LÄN</t>
        </is>
      </c>
      <c r="G129" t="inlineStr">
        <is>
          <t>KLIPPAN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24333-2022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44726</v>
      </c>
      <c r="E130" s="1" t="n">
        <v>46280</v>
      </c>
      <c r="F130" t="inlineStr">
        <is>
          <t>SKÅNE LÄN</t>
        </is>
      </c>
      <c r="G130" t="inlineStr">
        <is>
          <t>KLIPPAN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57687-2025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45981</v>
      </c>
      <c r="E131" s="1" t="n">
        <v>46280</v>
      </c>
      <c r="F131" t="inlineStr">
        <is>
          <t>SKÅNE LÄN</t>
        </is>
      </c>
      <c r="G131" t="inlineStr">
        <is>
          <t>KLIPPAN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44477</v>
      </c>
      <c r="E132" s="1" t="n">
        <v>46280</v>
      </c>
      <c r="F132" t="inlineStr">
        <is>
          <t>SKÅNE LÄN</t>
        </is>
      </c>
      <c r="G132" t="inlineStr">
        <is>
          <t>KLIPPAN</t>
        </is>
      </c>
      <c r="I132" t="n">
        <v>20.9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44882</v>
      </c>
      <c r="E133" s="1" t="n">
        <v>46280</v>
      </c>
      <c r="F133" t="inlineStr">
        <is>
          <t>SKÅNE LÄN</t>
        </is>
      </c>
      <c r="G133" t="inlineStr">
        <is>
          <t>KLIPPAN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20082-2026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46280</v>
      </c>
      <c r="F134" t="inlineStr">
        <is>
          <t>SKÅNE LÄN</t>
        </is>
      </c>
      <c r="G134" t="inlineStr">
        <is>
          <t>KLIPPAN</t>
        </is>
      </c>
      <c r="H134" t="inlineStr">
        <is>
          <t>Sveaskog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46280</v>
      </c>
      <c r="F135" t="inlineStr">
        <is>
          <t>SKÅNE LÄN</t>
        </is>
      </c>
      <c r="G135" t="inlineStr">
        <is>
          <t>KLIPPAN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42006-2025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46280</v>
      </c>
      <c r="F136" t="inlineStr">
        <is>
          <t>SKÅNE LÄN</t>
        </is>
      </c>
      <c r="G136" t="inlineStr">
        <is>
          <t>KLIPPAN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46280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46280</v>
      </c>
      <c r="F138" t="inlineStr">
        <is>
          <t>SKÅNE LÄN</t>
        </is>
      </c>
      <c r="G138" t="inlineStr">
        <is>
          <t>KLIPPAN</t>
        </is>
      </c>
      <c r="H138" t="inlineStr">
        <is>
          <t>Sveaskog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46280</v>
      </c>
      <c r="F139" t="inlineStr">
        <is>
          <t>SKÅNE LÄN</t>
        </is>
      </c>
      <c r="G139" t="inlineStr">
        <is>
          <t>KLIPPAN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55833-2023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45239</v>
      </c>
      <c r="E140" s="1" t="n">
        <v>46280</v>
      </c>
      <c r="F140" t="inlineStr">
        <is>
          <t>SKÅNE LÄN</t>
        </is>
      </c>
      <c r="G140" t="inlineStr">
        <is>
          <t>KLIPPAN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45055</v>
      </c>
      <c r="E141" s="1" t="n">
        <v>46280</v>
      </c>
      <c r="F141" t="inlineStr">
        <is>
          <t>SKÅNE LÄN</t>
        </is>
      </c>
      <c r="G141" t="inlineStr">
        <is>
          <t>KLIPPAN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45673</v>
      </c>
      <c r="E142" s="1" t="n">
        <v>46280</v>
      </c>
      <c r="F142" t="inlineStr">
        <is>
          <t>SKÅNE LÄN</t>
        </is>
      </c>
      <c r="G142" t="inlineStr">
        <is>
          <t>KLIPPAN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45264</v>
      </c>
      <c r="E143" s="1" t="n">
        <v>46280</v>
      </c>
      <c r="F143" t="inlineStr">
        <is>
          <t>SKÅNE LÄN</t>
        </is>
      </c>
      <c r="G143" t="inlineStr">
        <is>
          <t>KLIPPAN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46280</v>
      </c>
      <c r="F144" t="inlineStr">
        <is>
          <t>SKÅNE LÄN</t>
        </is>
      </c>
      <c r="G144" t="inlineStr">
        <is>
          <t>KLIPPAN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46280</v>
      </c>
      <c r="F145" t="inlineStr">
        <is>
          <t>SKÅNE LÄN</t>
        </is>
      </c>
      <c r="G145" t="inlineStr">
        <is>
          <t>KLIPPAN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44992</v>
      </c>
      <c r="E146" s="1" t="n">
        <v>46280</v>
      </c>
      <c r="F146" t="inlineStr">
        <is>
          <t>SKÅNE LÄN</t>
        </is>
      </c>
      <c r="G146" t="inlineStr">
        <is>
          <t>KLIPPAN</t>
        </is>
      </c>
      <c r="H146" t="inlineStr">
        <is>
          <t>Övriga Aktiebolag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45223</v>
      </c>
      <c r="E147" s="1" t="n">
        <v>46280</v>
      </c>
      <c r="F147" t="inlineStr">
        <is>
          <t>SKÅNE LÄN</t>
        </is>
      </c>
      <c r="G147" t="inlineStr">
        <is>
          <t>KLIPPAN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46280</v>
      </c>
      <c r="F148" t="inlineStr">
        <is>
          <t>SKÅNE LÄN</t>
        </is>
      </c>
      <c r="G148" t="inlineStr">
        <is>
          <t>KLIPPAN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44659</v>
      </c>
      <c r="E149" s="1" t="n">
        <v>46280</v>
      </c>
      <c r="F149" t="inlineStr">
        <is>
          <t>SKÅNE LÄN</t>
        </is>
      </c>
      <c r="G149" t="inlineStr">
        <is>
          <t>KLIPPAN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44944</v>
      </c>
      <c r="E150" s="1" t="n">
        <v>46280</v>
      </c>
      <c r="F150" t="inlineStr">
        <is>
          <t>SKÅNE LÄN</t>
        </is>
      </c>
      <c r="G150" t="inlineStr">
        <is>
          <t>KLIPPAN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46280</v>
      </c>
      <c r="F151" t="inlineStr">
        <is>
          <t>SKÅNE LÄN</t>
        </is>
      </c>
      <c r="G151" t="inlineStr">
        <is>
          <t>KLIPPAN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46728-2023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45198</v>
      </c>
      <c r="E152" s="1" t="n">
        <v>46280</v>
      </c>
      <c r="F152" t="inlineStr">
        <is>
          <t>SKÅNE LÄN</t>
        </is>
      </c>
      <c r="G152" t="inlineStr">
        <is>
          <t>KLIPPAN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46280</v>
      </c>
      <c r="F153" t="inlineStr">
        <is>
          <t>SKÅNE LÄN</t>
        </is>
      </c>
      <c r="G153" t="inlineStr">
        <is>
          <t>KLIPPAN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46280</v>
      </c>
      <c r="F154" t="inlineStr">
        <is>
          <t>SKÅNE LÄN</t>
        </is>
      </c>
      <c r="G154" t="inlineStr">
        <is>
          <t>KLIPPAN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46280</v>
      </c>
      <c r="F155" t="inlineStr">
        <is>
          <t>SKÅNE LÄN</t>
        </is>
      </c>
      <c r="G155" t="inlineStr">
        <is>
          <t>KLIPPAN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21599-2026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46149</v>
      </c>
      <c r="E156" s="1" t="n">
        <v>46280</v>
      </c>
      <c r="F156" t="inlineStr">
        <is>
          <t>SKÅNE LÄN</t>
        </is>
      </c>
      <c r="G156" t="inlineStr">
        <is>
          <t>KLIPPAN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46280</v>
      </c>
      <c r="F157" t="inlineStr">
        <is>
          <t>SKÅNE LÄN</t>
        </is>
      </c>
      <c r="G157" t="inlineStr">
        <is>
          <t>KLIPPAN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21778-2026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46280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45320</v>
      </c>
      <c r="E159" s="1" t="n">
        <v>46280</v>
      </c>
      <c r="F159" t="inlineStr">
        <is>
          <t>SKÅNE LÄN</t>
        </is>
      </c>
      <c r="G159" t="inlineStr">
        <is>
          <t>KLIPPAN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41294-2022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44825</v>
      </c>
      <c r="E160" s="1" t="n">
        <v>46280</v>
      </c>
      <c r="F160" t="inlineStr">
        <is>
          <t>SKÅNE LÄN</t>
        </is>
      </c>
      <c r="G160" t="inlineStr">
        <is>
          <t>KLIPPAN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46280</v>
      </c>
      <c r="F161" t="inlineStr">
        <is>
          <t>SKÅNE LÄN</t>
        </is>
      </c>
      <c r="G161" t="inlineStr">
        <is>
          <t>KLIPPAN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44978</v>
      </c>
      <c r="E162" s="1" t="n">
        <v>46280</v>
      </c>
      <c r="F162" t="inlineStr">
        <is>
          <t>SKÅNE LÄN</t>
        </is>
      </c>
      <c r="G162" t="inlineStr">
        <is>
          <t>KLIPPAN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63499-2025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46013</v>
      </c>
      <c r="E163" s="1" t="n">
        <v>46280</v>
      </c>
      <c r="F163" t="inlineStr">
        <is>
          <t>SKÅNE LÄN</t>
        </is>
      </c>
      <c r="G163" t="inlineStr">
        <is>
          <t>KLIPPAN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46280</v>
      </c>
      <c r="F164" t="inlineStr">
        <is>
          <t>SKÅNE LÄN</t>
        </is>
      </c>
      <c r="G164" t="inlineStr">
        <is>
          <t>KLIPPAN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46280</v>
      </c>
      <c r="F165" t="inlineStr">
        <is>
          <t>SKÅNE LÄN</t>
        </is>
      </c>
      <c r="G165" t="inlineStr">
        <is>
          <t>KLIPPAN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46280</v>
      </c>
      <c r="F166" t="inlineStr">
        <is>
          <t>SKÅNE LÄN</t>
        </is>
      </c>
      <c r="G166" t="inlineStr">
        <is>
          <t>KLIPPAN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46280</v>
      </c>
      <c r="F167" t="inlineStr">
        <is>
          <t>SKÅNE LÄN</t>
        </is>
      </c>
      <c r="G167" t="inlineStr">
        <is>
          <t>KLIPPAN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46280</v>
      </c>
      <c r="F168" t="inlineStr">
        <is>
          <t>SKÅNE LÄN</t>
        </is>
      </c>
      <c r="G168" t="inlineStr">
        <is>
          <t>KLIPPAN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46280</v>
      </c>
      <c r="F169" t="inlineStr">
        <is>
          <t>SKÅNE LÄN</t>
        </is>
      </c>
      <c r="G169" t="inlineStr">
        <is>
          <t>KLIPPAN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46280</v>
      </c>
      <c r="F170" t="inlineStr">
        <is>
          <t>SKÅNE LÄN</t>
        </is>
      </c>
      <c r="G170" t="inlineStr">
        <is>
          <t>KLIPPAN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44944</v>
      </c>
      <c r="E171" s="1" t="n">
        <v>46280</v>
      </c>
      <c r="F171" t="inlineStr">
        <is>
          <t>SKÅNE LÄN</t>
        </is>
      </c>
      <c r="G171" t="inlineStr">
        <is>
          <t>KLIPPAN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46280</v>
      </c>
      <c r="F172" t="inlineStr">
        <is>
          <t>SKÅNE LÄN</t>
        </is>
      </c>
      <c r="G172" t="inlineStr">
        <is>
          <t>KLIPPAN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44616</v>
      </c>
      <c r="E173" s="1" t="n">
        <v>46280</v>
      </c>
      <c r="F173" t="inlineStr">
        <is>
          <t>SKÅNE LÄN</t>
        </is>
      </c>
      <c r="G173" t="inlineStr">
        <is>
          <t>KLIPPAN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46280</v>
      </c>
      <c r="F174" t="inlineStr">
        <is>
          <t>SKÅNE LÄN</t>
        </is>
      </c>
      <c r="G174" t="inlineStr">
        <is>
          <t>KLIPPAN</t>
        </is>
      </c>
      <c r="H174" t="inlineStr">
        <is>
          <t>Sveaskog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46202</v>
      </c>
      <c r="E175" s="1" t="n">
        <v>46280</v>
      </c>
      <c r="F175" t="inlineStr">
        <is>
          <t>SKÅNE LÄN</t>
        </is>
      </c>
      <c r="G175" t="inlineStr">
        <is>
          <t>KLIPPAN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33181-2026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46245</v>
      </c>
      <c r="E176" s="1" t="n">
        <v>46280</v>
      </c>
      <c r="F176" t="inlineStr">
        <is>
          <t>SKÅNE LÄN</t>
        </is>
      </c>
      <c r="G176" t="inlineStr">
        <is>
          <t>KLIPPAN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30240-2026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46280</v>
      </c>
      <c r="F177" t="inlineStr">
        <is>
          <t>SKÅNE LÄN</t>
        </is>
      </c>
      <c r="G177" t="inlineStr">
        <is>
          <t>KLIPPAN</t>
        </is>
      </c>
      <c r="H177" t="inlineStr">
        <is>
          <t>Övriga Aktiebolag</t>
        </is>
      </c>
      <c r="I177" t="n">
        <v>10.9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33783-2026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46251</v>
      </c>
      <c r="E178" s="1" t="n">
        <v>46280</v>
      </c>
      <c r="F178" t="inlineStr">
        <is>
          <t>SKÅNE LÄN</t>
        </is>
      </c>
      <c r="G178" t="inlineStr">
        <is>
          <t>KLIPPAN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46280</v>
      </c>
      <c r="F179" t="inlineStr">
        <is>
          <t>SKÅNE LÄN</t>
        </is>
      </c>
      <c r="G179" t="inlineStr">
        <is>
          <t>KLIPPAN</t>
        </is>
      </c>
      <c r="H179" t="inlineStr">
        <is>
          <t>Sveaskog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30422-2026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46209</v>
      </c>
      <c r="E180" s="1" t="n">
        <v>46280</v>
      </c>
      <c r="F180" t="inlineStr">
        <is>
          <t>SKÅNE LÄN</t>
        </is>
      </c>
      <c r="G180" t="inlineStr">
        <is>
          <t>KLIPPAN</t>
        </is>
      </c>
      <c r="H180" t="inlineStr">
        <is>
          <t>Övriga Aktiebolag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46253</v>
      </c>
      <c r="E181" s="1" t="n">
        <v>46280</v>
      </c>
      <c r="F181" t="inlineStr">
        <is>
          <t>SKÅNE LÄN</t>
        </is>
      </c>
      <c r="G181" t="inlineStr">
        <is>
          <t>KLIPPAN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46209</v>
      </c>
      <c r="E182" s="1" t="n">
        <v>46280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45324</v>
      </c>
      <c r="E183" s="1" t="n">
        <v>46280</v>
      </c>
      <c r="F183" t="inlineStr">
        <is>
          <t>SKÅNE LÄN</t>
        </is>
      </c>
      <c r="G183" t="inlineStr">
        <is>
          <t>KLIPPAN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46280</v>
      </c>
      <c r="F184" t="inlineStr">
        <is>
          <t>SKÅNE LÄN</t>
        </is>
      </c>
      <c r="G184" t="inlineStr">
        <is>
          <t>KLIPPAN</t>
        </is>
      </c>
      <c r="H184" t="inlineStr">
        <is>
          <t>Sveaskog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8500-2023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46280</v>
      </c>
      <c r="F185" t="inlineStr">
        <is>
          <t>SKÅNE LÄN</t>
        </is>
      </c>
      <c r="G185" t="inlineStr">
        <is>
          <t>KLIPPAN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46209</v>
      </c>
      <c r="E186" s="1" t="n">
        <v>46280</v>
      </c>
      <c r="F186" t="inlineStr">
        <is>
          <t>SKÅNE LÄN</t>
        </is>
      </c>
      <c r="G186" t="inlineStr">
        <is>
          <t>KLIPPAN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45237</v>
      </c>
      <c r="E187" s="1" t="n">
        <v>46280</v>
      </c>
      <c r="F187" t="inlineStr">
        <is>
          <t>SKÅNE LÄN</t>
        </is>
      </c>
      <c r="G187" t="inlineStr">
        <is>
          <t>KLIPPAN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46216</v>
      </c>
      <c r="E188" s="1" t="n">
        <v>46280</v>
      </c>
      <c r="F188" t="inlineStr">
        <is>
          <t>SKÅNE LÄN</t>
        </is>
      </c>
      <c r="G188" t="inlineStr">
        <is>
          <t>KLIPPAN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23341-2026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46280</v>
      </c>
      <c r="F189" t="inlineStr">
        <is>
          <t>SKÅNE LÄN</t>
        </is>
      </c>
      <c r="G189" t="inlineStr">
        <is>
          <t>KLIPPAN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46216</v>
      </c>
      <c r="E190" s="1" t="n">
        <v>46280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46216</v>
      </c>
      <c r="E191" s="1" t="n">
        <v>46280</v>
      </c>
      <c r="F191" t="inlineStr">
        <is>
          <t>SKÅNE LÄN</t>
        </is>
      </c>
      <c r="G191" t="inlineStr">
        <is>
          <t>KLIPPAN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46198</v>
      </c>
      <c r="E192" s="1" t="n">
        <v>46280</v>
      </c>
      <c r="F192" t="inlineStr">
        <is>
          <t>SKÅNE LÄN</t>
        </is>
      </c>
      <c r="G192" t="inlineStr">
        <is>
          <t>KLIPPAN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35635-2026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46265</v>
      </c>
      <c r="E193" s="1" t="n">
        <v>46280</v>
      </c>
      <c r="F193" t="inlineStr">
        <is>
          <t>SKÅNE LÄN</t>
        </is>
      </c>
      <c r="G193" t="inlineStr">
        <is>
          <t>KLIPPAN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69041-2021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44529</v>
      </c>
      <c r="E194" s="1" t="n">
        <v>46280</v>
      </c>
      <c r="F194" t="inlineStr">
        <is>
          <t>SKÅNE LÄN</t>
        </is>
      </c>
      <c r="G194" t="inlineStr">
        <is>
          <t>KLIPPAN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46269</v>
      </c>
      <c r="E195" s="1" t="n">
        <v>46280</v>
      </c>
      <c r="F195" t="inlineStr">
        <is>
          <t>SKÅNE LÄN</t>
        </is>
      </c>
      <c r="G195" t="inlineStr">
        <is>
          <t>KLIPPAN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36475-2026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46269</v>
      </c>
      <c r="E196" s="1" t="n">
        <v>46280</v>
      </c>
      <c r="F196" t="inlineStr">
        <is>
          <t>SKÅNE LÄN</t>
        </is>
      </c>
      <c r="G196" t="inlineStr">
        <is>
          <t>KLIPPAN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46280</v>
      </c>
      <c r="F197" t="inlineStr">
        <is>
          <t>SKÅNE LÄN</t>
        </is>
      </c>
      <c r="G197" t="inlineStr">
        <is>
          <t>KLIPPAN</t>
        </is>
      </c>
      <c r="H197" t="inlineStr">
        <is>
          <t>Övriga Aktiebolag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46210</v>
      </c>
      <c r="E198" s="1" t="n">
        <v>46280</v>
      </c>
      <c r="F198" t="inlineStr">
        <is>
          <t>SKÅNE LÄN</t>
        </is>
      </c>
      <c r="G198" t="inlineStr">
        <is>
          <t>KLIPPAN</t>
        </is>
      </c>
      <c r="H198" t="inlineStr">
        <is>
          <t>Övriga Aktiebolag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23260-2023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45075</v>
      </c>
      <c r="E199" s="1" t="n">
        <v>46280</v>
      </c>
      <c r="F199" t="inlineStr">
        <is>
          <t>SKÅNE LÄN</t>
        </is>
      </c>
      <c r="G199" t="inlineStr">
        <is>
          <t>KLIPPAN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55586-2021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46280</v>
      </c>
      <c r="F200" t="inlineStr">
        <is>
          <t>SKÅNE LÄN</t>
        </is>
      </c>
      <c r="G200" t="inlineStr">
        <is>
          <t>KLIPPAN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46274</v>
      </c>
      <c r="E201" s="1" t="n">
        <v>46280</v>
      </c>
      <c r="F201" t="inlineStr">
        <is>
          <t>SKÅNE LÄN</t>
        </is>
      </c>
      <c r="G201" t="inlineStr">
        <is>
          <t>KLIPPAN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44988</v>
      </c>
      <c r="E202" s="1" t="n">
        <v>46280</v>
      </c>
      <c r="F202" t="inlineStr">
        <is>
          <t>SKÅNE LÄN</t>
        </is>
      </c>
      <c r="G202" t="inlineStr">
        <is>
          <t>KLIPPAN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46279</v>
      </c>
      <c r="E203" s="1" t="n">
        <v>46280</v>
      </c>
      <c r="F203" t="inlineStr">
        <is>
          <t>SKÅNE LÄN</t>
        </is>
      </c>
      <c r="G203" t="inlineStr">
        <is>
          <t>KLIPPAN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46223</v>
      </c>
      <c r="E204" s="1" t="n">
        <v>46280</v>
      </c>
      <c r="F204" t="inlineStr">
        <is>
          <t>SKÅNE LÄN</t>
        </is>
      </c>
      <c r="G204" t="inlineStr">
        <is>
          <t>KLIPPAN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46280</v>
      </c>
      <c r="F205" t="inlineStr">
        <is>
          <t>SKÅNE LÄN</t>
        </is>
      </c>
      <c r="G205" t="inlineStr">
        <is>
          <t>KLIPPAN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45013</v>
      </c>
      <c r="E206" s="1" t="n">
        <v>46280</v>
      </c>
      <c r="F206" t="inlineStr">
        <is>
          <t>SKÅNE LÄN</t>
        </is>
      </c>
      <c r="G206" t="inlineStr">
        <is>
          <t>KLIPPAN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44609</v>
      </c>
      <c r="E207" s="1" t="n">
        <v>46280</v>
      </c>
      <c r="F207" t="inlineStr">
        <is>
          <t>SKÅNE LÄN</t>
        </is>
      </c>
      <c r="G207" t="inlineStr">
        <is>
          <t>KLIPPAN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45739</v>
      </c>
      <c r="E208" s="1" t="n">
        <v>46280</v>
      </c>
      <c r="F208" t="inlineStr">
        <is>
          <t>SKÅNE LÄN</t>
        </is>
      </c>
      <c r="G208" t="inlineStr">
        <is>
          <t>KLIPPAN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46280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24034-2023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46280</v>
      </c>
      <c r="F210" t="inlineStr">
        <is>
          <t>SKÅNE LÄN</t>
        </is>
      </c>
      <c r="G210" t="inlineStr">
        <is>
          <t>KLIPPAN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46280</v>
      </c>
      <c r="F211" t="inlineStr">
        <is>
          <t>SKÅNE LÄN</t>
        </is>
      </c>
      <c r="G211" t="inlineStr">
        <is>
          <t>KLIPPAN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45641-2022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44845</v>
      </c>
      <c r="E212" s="1" t="n">
        <v>46280</v>
      </c>
      <c r="F212" t="inlineStr">
        <is>
          <t>SKÅNE LÄN</t>
        </is>
      </c>
      <c r="G212" t="inlineStr">
        <is>
          <t>KLIPPAN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45442</v>
      </c>
      <c r="E213" s="1" t="n">
        <v>46280</v>
      </c>
      <c r="F213" t="inlineStr">
        <is>
          <t>SKÅNE LÄN</t>
        </is>
      </c>
      <c r="G213" t="inlineStr">
        <is>
          <t>KLIPPAN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60783-2023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46280</v>
      </c>
      <c r="F214" t="inlineStr">
        <is>
          <t>SKÅNE LÄN</t>
        </is>
      </c>
      <c r="G214" t="inlineStr">
        <is>
          <t>KLIPPAN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14619-2023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45013</v>
      </c>
      <c r="E215" s="1" t="n">
        <v>46280</v>
      </c>
      <c r="F215" t="inlineStr">
        <is>
          <t>SKÅNE LÄN</t>
        </is>
      </c>
      <c r="G215" t="inlineStr">
        <is>
          <t>KLIPPAN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46280</v>
      </c>
      <c r="F216" t="inlineStr">
        <is>
          <t>SKÅNE LÄN</t>
        </is>
      </c>
      <c r="G216" t="inlineStr">
        <is>
          <t>KLIPPAN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44993</v>
      </c>
      <c r="E217" s="1" t="n">
        <v>46280</v>
      </c>
      <c r="F217" t="inlineStr">
        <is>
          <t>SKÅNE LÄN</t>
        </is>
      </c>
      <c r="G217" t="inlineStr">
        <is>
          <t>KLIPPAN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46280</v>
      </c>
      <c r="F218" t="inlineStr">
        <is>
          <t>SKÅNE LÄN</t>
        </is>
      </c>
      <c r="G218" t="inlineStr">
        <is>
          <t>KLIPPAN</t>
        </is>
      </c>
      <c r="H218" t="inlineStr">
        <is>
          <t>Övriga Aktiebolag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44593</v>
      </c>
      <c r="E219" s="1" t="n">
        <v>46280</v>
      </c>
      <c r="F219" t="inlineStr">
        <is>
          <t>SKÅNE LÄN</t>
        </is>
      </c>
      <c r="G219" t="inlineStr">
        <is>
          <t>KLIPPAN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46280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47870-2022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44855</v>
      </c>
      <c r="E221" s="1" t="n">
        <v>46280</v>
      </c>
      <c r="F221" t="inlineStr">
        <is>
          <t>SKÅNE LÄN</t>
        </is>
      </c>
      <c r="G221" t="inlineStr">
        <is>
          <t>KLIPPAN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27813-2023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45098</v>
      </c>
      <c r="E222" s="1" t="n">
        <v>46280</v>
      </c>
      <c r="F222" t="inlineStr">
        <is>
          <t>SKÅNE LÄN</t>
        </is>
      </c>
      <c r="G222" t="inlineStr">
        <is>
          <t>KLIPPAN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44901</v>
      </c>
      <c r="E223" s="1" t="n">
        <v>46280</v>
      </c>
      <c r="F223" t="inlineStr">
        <is>
          <t>SKÅNE LÄN</t>
        </is>
      </c>
      <c r="G223" t="inlineStr">
        <is>
          <t>KLIPPAN</t>
        </is>
      </c>
      <c r="H223" t="inlineStr">
        <is>
          <t>Kommuner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46280</v>
      </c>
      <c r="F224" t="inlineStr">
        <is>
          <t>SKÅNE LÄN</t>
        </is>
      </c>
      <c r="G224" t="inlineStr">
        <is>
          <t>KLIPPAN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45596-2024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45579</v>
      </c>
      <c r="E225" s="1" t="n">
        <v>46280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45161</v>
      </c>
      <c r="E226" s="1" t="n">
        <v>46280</v>
      </c>
      <c r="F226" t="inlineStr">
        <is>
          <t>SKÅNE LÄN</t>
        </is>
      </c>
      <c r="G226" t="inlineStr">
        <is>
          <t>KLIPPAN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45161</v>
      </c>
      <c r="E227" s="1" t="n">
        <v>46280</v>
      </c>
      <c r="F227" t="inlineStr">
        <is>
          <t>SKÅNE LÄN</t>
        </is>
      </c>
      <c r="G227" t="inlineStr">
        <is>
          <t>KLIPPAN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21654-2024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45442</v>
      </c>
      <c r="E228" s="1" t="n">
        <v>46280</v>
      </c>
      <c r="F228" t="inlineStr">
        <is>
          <t>SKÅNE LÄN</t>
        </is>
      </c>
      <c r="G228" t="inlineStr">
        <is>
          <t>KLIPPAN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46280</v>
      </c>
      <c r="F229" t="inlineStr">
        <is>
          <t>SKÅNE LÄN</t>
        </is>
      </c>
      <c r="G229" t="inlineStr">
        <is>
          <t>KLIPPAN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20591-2023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45055</v>
      </c>
      <c r="E230" s="1" t="n">
        <v>46280</v>
      </c>
      <c r="F230" t="inlineStr">
        <is>
          <t>SKÅNE LÄN</t>
        </is>
      </c>
      <c r="G230" t="inlineStr">
        <is>
          <t>KLIPPAN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52877-2022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44875</v>
      </c>
      <c r="E231" s="1" t="n">
        <v>46280</v>
      </c>
      <c r="F231" t="inlineStr">
        <is>
          <t>SKÅNE LÄN</t>
        </is>
      </c>
      <c r="G231" t="inlineStr">
        <is>
          <t>KLIPPAN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44992</v>
      </c>
      <c r="E232" s="1" t="n">
        <v>46280</v>
      </c>
      <c r="F232" t="inlineStr">
        <is>
          <t>SKÅNE LÄN</t>
        </is>
      </c>
      <c r="G232" t="inlineStr">
        <is>
          <t>KLIPPAN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64224-2023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45279</v>
      </c>
      <c r="E233" s="1" t="n">
        <v>46280</v>
      </c>
      <c r="F233" t="inlineStr">
        <is>
          <t>SKÅNE LÄN</t>
        </is>
      </c>
      <c r="G233" t="inlineStr">
        <is>
          <t>KLIPPAN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44697</v>
      </c>
      <c r="E234" s="1" t="n">
        <v>46280</v>
      </c>
      <c r="F234" t="inlineStr">
        <is>
          <t>SKÅNE LÄN</t>
        </is>
      </c>
      <c r="G234" t="inlineStr">
        <is>
          <t>KLIPPAN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45588</v>
      </c>
      <c r="E235" s="1" t="n">
        <v>46280</v>
      </c>
      <c r="F235" t="inlineStr">
        <is>
          <t>SKÅNE LÄN</t>
        </is>
      </c>
      <c r="G235" t="inlineStr">
        <is>
          <t>KLIPPAN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45212</v>
      </c>
      <c r="E236" s="1" t="n">
        <v>46280</v>
      </c>
      <c r="F236" t="inlineStr">
        <is>
          <t>SKÅNE LÄN</t>
        </is>
      </c>
      <c r="G236" t="inlineStr">
        <is>
          <t>KLIPPAN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68856-2021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44530</v>
      </c>
      <c r="E237" s="1" t="n">
        <v>46280</v>
      </c>
      <c r="F237" t="inlineStr">
        <is>
          <t>SKÅNE LÄN</t>
        </is>
      </c>
      <c r="G237" t="inlineStr">
        <is>
          <t>KLIPPAN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45199</v>
      </c>
      <c r="E238" s="1" t="n">
        <v>46280</v>
      </c>
      <c r="F238" t="inlineStr">
        <is>
          <t>SKÅNE LÄN</t>
        </is>
      </c>
      <c r="G238" t="inlineStr">
        <is>
          <t>KLIPPAN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5557-2022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44593</v>
      </c>
      <c r="E239" s="1" t="n">
        <v>46280</v>
      </c>
      <c r="F239" t="inlineStr">
        <is>
          <t>SKÅNE LÄN</t>
        </is>
      </c>
      <c r="G239" t="inlineStr">
        <is>
          <t>KLIPPAN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46280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9.300000000000001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39530-2023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46280</v>
      </c>
      <c r="F241" t="inlineStr">
        <is>
          <t>SKÅNE LÄN</t>
        </is>
      </c>
      <c r="G241" t="inlineStr">
        <is>
          <t>KLIPPAN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45072</v>
      </c>
      <c r="E242" s="1" t="n">
        <v>46280</v>
      </c>
      <c r="F242" t="inlineStr">
        <is>
          <t>SKÅNE LÄN</t>
        </is>
      </c>
      <c r="G242" t="inlineStr">
        <is>
          <t>KLIPPAN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23978-2022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44722</v>
      </c>
      <c r="E243" s="1" t="n">
        <v>46280</v>
      </c>
      <c r="F243" t="inlineStr">
        <is>
          <t>SKÅNE LÄN</t>
        </is>
      </c>
      <c r="G243" t="inlineStr">
        <is>
          <t>KLIPPAN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45404</v>
      </c>
      <c r="E244" s="1" t="n">
        <v>46280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38945-2023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46280</v>
      </c>
      <c r="F245" t="inlineStr">
        <is>
          <t>SKÅNE LÄN</t>
        </is>
      </c>
      <c r="G245" t="inlineStr">
        <is>
          <t>KLIPPAN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55587-2021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44475</v>
      </c>
      <c r="E246" s="1" t="n">
        <v>46280</v>
      </c>
      <c r="F246" t="inlineStr">
        <is>
          <t>SKÅNE LÄN</t>
        </is>
      </c>
      <c r="G246" t="inlineStr">
        <is>
          <t>KLIPPAN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44722</v>
      </c>
      <c r="E247" s="1" t="n">
        <v>46280</v>
      </c>
      <c r="F247" t="inlineStr">
        <is>
          <t>SKÅNE LÄN</t>
        </is>
      </c>
      <c r="G247" t="inlineStr">
        <is>
          <t>KLIPPAN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45714</v>
      </c>
      <c r="E248" s="1" t="n">
        <v>46280</v>
      </c>
      <c r="F248" t="inlineStr">
        <is>
          <t>SKÅNE LÄN</t>
        </is>
      </c>
      <c r="G248" t="inlineStr">
        <is>
          <t>KLIPPAN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45099</v>
      </c>
      <c r="E249" s="1" t="n">
        <v>46280</v>
      </c>
      <c r="F249" t="inlineStr">
        <is>
          <t>SKÅNE LÄN</t>
        </is>
      </c>
      <c r="G249" t="inlineStr">
        <is>
          <t>KLIPPAN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56759-2023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45238</v>
      </c>
      <c r="E250" s="1" t="n">
        <v>46280</v>
      </c>
      <c r="F250" t="inlineStr">
        <is>
          <t>SKÅNE LÄN</t>
        </is>
      </c>
      <c r="G250" t="inlineStr">
        <is>
          <t>KLIPPAN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45324</v>
      </c>
      <c r="E251" s="1" t="n">
        <v>46280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45069</v>
      </c>
      <c r="E252" s="1" t="n">
        <v>46280</v>
      </c>
      <c r="F252" t="inlineStr">
        <is>
          <t>SKÅNE LÄN</t>
        </is>
      </c>
      <c r="G252" t="inlineStr">
        <is>
          <t>KLIPPAN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44697</v>
      </c>
      <c r="E253" s="1" t="n">
        <v>46280</v>
      </c>
      <c r="F253" t="inlineStr">
        <is>
          <t>SKÅNE LÄN</t>
        </is>
      </c>
      <c r="G253" t="inlineStr">
        <is>
          <t>KLIPPAN</t>
        </is>
      </c>
      <c r="I253" t="n">
        <v>17.2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46280</v>
      </c>
      <c r="F254" t="inlineStr">
        <is>
          <t>SKÅNE LÄN</t>
        </is>
      </c>
      <c r="G254" t="inlineStr">
        <is>
          <t>KLIPPAN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63720-2023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45275</v>
      </c>
      <c r="E255" s="1" t="n">
        <v>46280</v>
      </c>
      <c r="F255" t="inlineStr">
        <is>
          <t>SKÅNE LÄN</t>
        </is>
      </c>
      <c r="G255" t="inlineStr">
        <is>
          <t>KLIPPAN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45393</v>
      </c>
      <c r="E256" s="1" t="n">
        <v>46280</v>
      </c>
      <c r="F256" t="inlineStr">
        <is>
          <t>SKÅNE LÄN</t>
        </is>
      </c>
      <c r="G256" t="inlineStr">
        <is>
          <t>KLIPPAN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44855</v>
      </c>
      <c r="E257" s="1" t="n">
        <v>46280</v>
      </c>
      <c r="F257" t="inlineStr">
        <is>
          <t>SKÅNE LÄN</t>
        </is>
      </c>
      <c r="G257" t="inlineStr">
        <is>
          <t>KLIPPAN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45341</v>
      </c>
      <c r="E258" s="1" t="n">
        <v>46280</v>
      </c>
      <c r="F258" t="inlineStr">
        <is>
          <t>SKÅNE LÄN</t>
        </is>
      </c>
      <c r="G258" t="inlineStr">
        <is>
          <t>KLIPPAN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24647-2023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46280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11.6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45005</v>
      </c>
      <c r="E260" s="1" t="n">
        <v>46280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42281-2024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45562</v>
      </c>
      <c r="E261" s="1" t="n">
        <v>46280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42284-2024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46280</v>
      </c>
      <c r="F262" t="inlineStr">
        <is>
          <t>SKÅNE LÄN</t>
        </is>
      </c>
      <c r="G262" t="inlineStr">
        <is>
          <t>KLIPPAN</t>
        </is>
      </c>
      <c r="H262" t="inlineStr">
        <is>
          <t>Sveaskog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45320</v>
      </c>
      <c r="E263" s="1" t="n">
        <v>46280</v>
      </c>
      <c r="F263" t="inlineStr">
        <is>
          <t>SKÅNE LÄN</t>
        </is>
      </c>
      <c r="G263" t="inlineStr">
        <is>
          <t>KLIPPAN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46280</v>
      </c>
      <c r="F264" t="inlineStr">
        <is>
          <t>SKÅNE LÄN</t>
        </is>
      </c>
      <c r="G264" t="inlineStr">
        <is>
          <t>KLIPPAN</t>
        </is>
      </c>
      <c r="H264" t="inlineStr">
        <is>
          <t>Sveaskog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45349</v>
      </c>
      <c r="E265" s="1" t="n">
        <v>46280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44883</v>
      </c>
      <c r="E266" s="1" t="n">
        <v>46280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45537</v>
      </c>
      <c r="E267" s="1" t="n">
        <v>46280</v>
      </c>
      <c r="F267" t="inlineStr">
        <is>
          <t>SKÅNE LÄN</t>
        </is>
      </c>
      <c r="G267" t="inlineStr">
        <is>
          <t>KLIPPAN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46280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46280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46280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46280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46280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46280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46280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46280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704-2022</t>
        </is>
      </c>
      <c r="B276" t="inlineStr">
        <is>
          <t>samrådsanmälan</t>
        </is>
      </c>
      <c r="C276" t="inlineStr">
        <is>
          <t>Skogsbilväg</t>
        </is>
      </c>
      <c r="D276" s="1" t="n">
        <v>44599</v>
      </c>
      <c r="E276" s="1" t="n">
        <v>46280</v>
      </c>
      <c r="F276" t="inlineStr">
        <is>
          <t>SKÅNE LÄN</t>
        </is>
      </c>
      <c r="G276" t="inlineStr">
        <is>
          <t>KLIPPAN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2678-2022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44701</v>
      </c>
      <c r="E277" s="1" t="n">
        <v>46280</v>
      </c>
      <c r="F277" t="inlineStr">
        <is>
          <t>SKÅNE LÄN</t>
        </is>
      </c>
      <c r="G277" t="inlineStr">
        <is>
          <t>KLIPPAN</t>
        </is>
      </c>
      <c r="I277" t="n">
        <v>15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46280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46280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4865-2022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44805</v>
      </c>
      <c r="E280" s="1" t="n">
        <v>46280</v>
      </c>
      <c r="F280" t="inlineStr">
        <is>
          <t>SKÅNE LÄN</t>
        </is>
      </c>
      <c r="G280" t="inlineStr">
        <is>
          <t>KLIPPAN</t>
        </is>
      </c>
      <c r="I280" t="n">
        <v>29.1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3792-2024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46280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2690-2022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44701</v>
      </c>
      <c r="E282" s="1" t="n">
        <v>46280</v>
      </c>
      <c r="F282" t="inlineStr">
        <is>
          <t>SKÅNE LÄN</t>
        </is>
      </c>
      <c r="G282" t="inlineStr">
        <is>
          <t>KLIPPAN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2225-2023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45109</v>
      </c>
      <c r="E283" s="1" t="n">
        <v>46280</v>
      </c>
      <c r="F283" t="inlineStr">
        <is>
          <t>SKÅNE LÄN</t>
        </is>
      </c>
      <c r="G283" t="inlineStr">
        <is>
          <t>KLIPPAN</t>
        </is>
      </c>
      <c r="I283" t="n">
        <v>15.2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5892-2022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44853</v>
      </c>
      <c r="E284" s="1" t="n">
        <v>46280</v>
      </c>
      <c r="F284" t="inlineStr">
        <is>
          <t>SKÅNE LÄN</t>
        </is>
      </c>
      <c r="G284" t="inlineStr">
        <is>
          <t>KLIPPAN</t>
        </is>
      </c>
      <c r="I284" t="n">
        <v>24.6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5986-2022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44859</v>
      </c>
      <c r="E285" s="1" t="n">
        <v>46280</v>
      </c>
      <c r="F285" t="inlineStr">
        <is>
          <t>SKÅNE LÄN</t>
        </is>
      </c>
      <c r="G285" t="inlineStr">
        <is>
          <t>KLIPPAN</t>
        </is>
      </c>
      <c r="I285" t="n">
        <v>19.6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4186-2024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45579</v>
      </c>
      <c r="E286" s="1" t="n">
        <v>46280</v>
      </c>
      <c r="F286" t="inlineStr">
        <is>
          <t>SKÅNE LÄN</t>
        </is>
      </c>
      <c r="G286" t="inlineStr">
        <is>
          <t>KLIPPAN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3806-2024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45558</v>
      </c>
      <c r="E287" s="1" t="n">
        <v>46280</v>
      </c>
      <c r="F287" t="inlineStr">
        <is>
          <t>SKÅNE LÄN</t>
        </is>
      </c>
      <c r="G287" t="inlineStr">
        <is>
          <t>KLIPPAN</t>
        </is>
      </c>
      <c r="H287" t="inlineStr">
        <is>
          <t>Sveaskog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1606-2025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45798</v>
      </c>
      <c r="E288" s="1" t="n">
        <v>46280</v>
      </c>
      <c r="F288" t="inlineStr">
        <is>
          <t>SKÅNE LÄN</t>
        </is>
      </c>
      <c r="G288" t="inlineStr">
        <is>
          <t>KLIPPAN</t>
        </is>
      </c>
      <c r="I288" t="n">
        <v>11.7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2907-2025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45947</v>
      </c>
      <c r="E289" s="1" t="n">
        <v>46280</v>
      </c>
      <c r="F289" t="inlineStr">
        <is>
          <t>SKÅNE LÄN</t>
        </is>
      </c>
      <c r="G289" t="inlineStr">
        <is>
          <t>KLIPPAN</t>
        </is>
      </c>
      <c r="I289" t="n">
        <v>48.2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83-2026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46034</v>
      </c>
      <c r="E290" s="1" t="n">
        <v>46280</v>
      </c>
      <c r="F290" t="inlineStr">
        <is>
          <t>SKÅNE LÄN</t>
        </is>
      </c>
      <c r="G290" t="inlineStr">
        <is>
          <t>KLIPPAN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166-2026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46044</v>
      </c>
      <c r="E291" s="1" t="n">
        <v>46280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2022-2026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46280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14.3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2019-2026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46280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20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>
      <c r="A294" t="inlineStr">
        <is>
          <t>S 2020-2026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46210</v>
      </c>
      <c r="E294" s="1" t="n">
        <v>46280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30.3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2026-09-15T08:14:11Z</dcterms:created>
  <dcterms:modified xmlns:dcterms="http://purl.org/dc/terms/" xmlns:xsi="http://www.w3.org/2001/XMLSchema-instance" xsi:type="dcterms:W3CDTF">2026-09-15T08:14:11Z</dcterms:modified>
</cp:coreProperties>
</file>