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46084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46084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46084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46084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46084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46084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46084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46084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46084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5797-2024</t>
        </is>
      </c>
      <c r="B11" s="1" t="n">
        <v>45335</v>
      </c>
      <c r="C11" s="1" t="n">
        <v>46084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Entita
Gröngöling</t>
        </is>
      </c>
      <c r="S11">
        <f>HYPERLINK("https://klasma.github.io/Logging_1276/artfynd/A 5797-2024 artfynd.xlsx", "A 5797-2024")</f>
        <v/>
      </c>
      <c r="T11">
        <f>HYPERLINK("https://klasma.github.io/Logging_1276/kartor/A 5797-2024 karta.png", "A 5797-2024")</f>
        <v/>
      </c>
      <c r="V11">
        <f>HYPERLINK("https://klasma.github.io/Logging_1276/klagomål/A 5797-2024 FSC-klagomål.docx", "A 5797-2024")</f>
        <v/>
      </c>
      <c r="W11">
        <f>HYPERLINK("https://klasma.github.io/Logging_1276/klagomålsmail/A 5797-2024 FSC-klagomål mail.docx", "A 5797-2024")</f>
        <v/>
      </c>
      <c r="X11">
        <f>HYPERLINK("https://klasma.github.io/Logging_1276/tillsyn/A 5797-2024 tillsynsbegäran.docx", "A 5797-2024")</f>
        <v/>
      </c>
      <c r="Y11">
        <f>HYPERLINK("https://klasma.github.io/Logging_1276/tillsynsmail/A 5797-2024 tillsynsbegäran mail.docx", "A 5797-2024")</f>
        <v/>
      </c>
      <c r="Z11">
        <f>HYPERLINK("https://klasma.github.io/Logging_1276/fåglar/A 5797-2024 prioriterade fågelarter.docx", "A 5797-2024")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46084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37966-2024</t>
        </is>
      </c>
      <c r="B13" s="1" t="n">
        <v>45544</v>
      </c>
      <c r="C13" s="1" t="n">
        <v>46084</v>
      </c>
      <c r="D13" t="inlineStr">
        <is>
          <t>SKÅNE LÄN</t>
        </is>
      </c>
      <c r="E13" t="inlineStr">
        <is>
          <t>KLIPPAN</t>
        </is>
      </c>
      <c r="G13" t="n">
        <v>2.5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Vanlig padda</t>
        </is>
      </c>
      <c r="S13">
        <f>HYPERLINK("https://klasma.github.io/Logging_1276/artfynd/A 37966-2024 artfynd.xlsx", "A 37966-2024")</f>
        <v/>
      </c>
      <c r="T13">
        <f>HYPERLINK("https://klasma.github.io/Logging_1276/kartor/A 37966-2024 karta.png", "A 37966-2024")</f>
        <v/>
      </c>
      <c r="V13">
        <f>HYPERLINK("https://klasma.github.io/Logging_1276/klagomål/A 37966-2024 FSC-klagomål.docx", "A 37966-2024")</f>
        <v/>
      </c>
      <c r="W13">
        <f>HYPERLINK("https://klasma.github.io/Logging_1276/klagomålsmail/A 37966-2024 FSC-klagomål mail.docx", "A 37966-2024")</f>
        <v/>
      </c>
      <c r="X13">
        <f>HYPERLINK("https://klasma.github.io/Logging_1276/tillsyn/A 37966-2024 tillsynsbegäran.docx", "A 37966-2024")</f>
        <v/>
      </c>
      <c r="Y13">
        <f>HYPERLINK("https://klasma.github.io/Logging_1276/tillsynsmail/A 37966-2024 tillsynsbegäran mail.docx", "A 37966-2024")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46084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46084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11673-2022</t>
        </is>
      </c>
      <c r="B16" s="1" t="n">
        <v>44633</v>
      </c>
      <c r="C16" s="1" t="n">
        <v>46084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Vanlig groda</t>
        </is>
      </c>
      <c r="S16">
        <f>HYPERLINK("https://klasma.github.io/Logging_1276/artfynd/A 11673-2022 artfynd.xlsx", "A 11673-2022")</f>
        <v/>
      </c>
      <c r="T16">
        <f>HYPERLINK("https://klasma.github.io/Logging_1276/kartor/A 11673-2022 karta.png", "A 11673-2022")</f>
        <v/>
      </c>
      <c r="V16">
        <f>HYPERLINK("https://klasma.github.io/Logging_1276/klagomål/A 11673-2022 FSC-klagomål.docx", "A 11673-2022")</f>
        <v/>
      </c>
      <c r="W16">
        <f>HYPERLINK("https://klasma.github.io/Logging_1276/klagomålsmail/A 11673-2022 FSC-klagomål mail.docx", "A 11673-2022")</f>
        <v/>
      </c>
      <c r="X16">
        <f>HYPERLINK("https://klasma.github.io/Logging_1276/tillsyn/A 11673-2022 tillsynsbegäran.docx", "A 11673-2022")</f>
        <v/>
      </c>
      <c r="Y16">
        <f>HYPERLINK("https://klasma.github.io/Logging_1276/tillsynsmail/A 11673-2022 tillsynsbegäran mail.docx", "A 11673-2022")</f>
        <v/>
      </c>
      <c r="Z16">
        <f>HYPERLINK("https://klasma.github.io/Logging_1276/fåglar/A 11673-2022 prioriterade fågelarter.docx", "A 11673-2022")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46084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46084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46084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61049-2025</t>
        </is>
      </c>
      <c r="B20" s="1" t="n">
        <v>46000</v>
      </c>
      <c r="C20" s="1" t="n">
        <v>46084</v>
      </c>
      <c r="D20" t="inlineStr">
        <is>
          <t>SKÅNE LÄN</t>
        </is>
      </c>
      <c r="E20" t="inlineStr">
        <is>
          <t>KLIPPAN</t>
        </is>
      </c>
      <c r="F20" t="inlineStr">
        <is>
          <t>Sveaskog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61049-2025 artfynd.xlsx", "A 61049-2025")</f>
        <v/>
      </c>
      <c r="T20">
        <f>HYPERLINK("https://klasma.github.io/Logging_1276/kartor/A 61049-2025 karta.png", "A 61049-2025")</f>
        <v/>
      </c>
      <c r="V20">
        <f>HYPERLINK("https://klasma.github.io/Logging_1276/klagomål/A 61049-2025 FSC-klagomål.docx", "A 61049-2025")</f>
        <v/>
      </c>
      <c r="W20">
        <f>HYPERLINK("https://klasma.github.io/Logging_1276/klagomålsmail/A 61049-2025 FSC-klagomål mail.docx", "A 61049-2025")</f>
        <v/>
      </c>
      <c r="X20">
        <f>HYPERLINK("https://klasma.github.io/Logging_1276/tillsyn/A 61049-2025 tillsynsbegäran.docx", "A 61049-2025")</f>
        <v/>
      </c>
      <c r="Y20">
        <f>HYPERLINK("https://klasma.github.io/Logging_1276/tillsynsmail/A 61049-2025 tillsynsbegäran mail.docx", "A 61049-2025")</f>
        <v/>
      </c>
      <c r="Z20">
        <f>HYPERLINK("https://klasma.github.io/Logging_1276/fåglar/A 61049-2025 prioriterade fågelarter.docx", "A 61049-2025")</f>
        <v/>
      </c>
    </row>
    <row r="21" ht="15" customHeight="1">
      <c r="A21" t="inlineStr">
        <is>
          <t>A 61058-2025</t>
        </is>
      </c>
      <c r="B21" s="1" t="n">
        <v>46000</v>
      </c>
      <c r="C21" s="1" t="n">
        <v>46084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HYPERLINK("https://klasma.github.io/Logging_1276/artfynd/A 61058-2025 artfynd.xlsx", "A 61058-2025")</f>
        <v/>
      </c>
      <c r="T21">
        <f>HYPERLINK("https://klasma.github.io/Logging_1276/kartor/A 61058-2025 karta.png", "A 61058-2025")</f>
        <v/>
      </c>
      <c r="V21">
        <f>HYPERLINK("https://klasma.github.io/Logging_1276/klagomål/A 61058-2025 FSC-klagomål.docx", "A 61058-2025")</f>
        <v/>
      </c>
      <c r="W21">
        <f>HYPERLINK("https://klasma.github.io/Logging_1276/klagomålsmail/A 61058-2025 FSC-klagomål mail.docx", "A 61058-2025")</f>
        <v/>
      </c>
      <c r="X21">
        <f>HYPERLINK("https://klasma.github.io/Logging_1276/tillsyn/A 61058-2025 tillsynsbegäran.docx", "A 61058-2025")</f>
        <v/>
      </c>
      <c r="Y21">
        <f>HYPERLINK("https://klasma.github.io/Logging_1276/tillsynsmail/A 61058-2025 tillsynsbegäran mail.docx", "A 61058-2025")</f>
        <v/>
      </c>
      <c r="Z21">
        <f>HYPERLINK("https://klasma.github.io/Logging_1276/fåglar/A 61058-2025 prioriterade fågelarter.docx", "A 61058-2025")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46084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2839-2026</t>
        </is>
      </c>
      <c r="B23" s="1" t="n">
        <v>46038</v>
      </c>
      <c r="C23" s="1" t="n">
        <v>46084</v>
      </c>
      <c r="D23" t="inlineStr">
        <is>
          <t>SKÅNE LÄN</t>
        </is>
      </c>
      <c r="E23" t="inlineStr">
        <is>
          <t>KLIPPAN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2839-2026 artfynd.xlsx", "A 2839-2026")</f>
        <v/>
      </c>
      <c r="T23">
        <f>HYPERLINK("https://klasma.github.io/Logging_1276/kartor/A 2839-2026 karta.png", "A 2839-2026")</f>
        <v/>
      </c>
      <c r="V23">
        <f>HYPERLINK("https://klasma.github.io/Logging_1276/klagomål/A 2839-2026 FSC-klagomål.docx", "A 2839-2026")</f>
        <v/>
      </c>
      <c r="W23">
        <f>HYPERLINK("https://klasma.github.io/Logging_1276/klagomålsmail/A 2839-2026 FSC-klagomål mail.docx", "A 2839-2026")</f>
        <v/>
      </c>
      <c r="X23">
        <f>HYPERLINK("https://klasma.github.io/Logging_1276/tillsyn/A 2839-2026 tillsynsbegäran.docx", "A 2839-2026")</f>
        <v/>
      </c>
      <c r="Y23">
        <f>HYPERLINK("https://klasma.github.io/Logging_1276/tillsynsmail/A 2839-2026 tillsynsbegäran mail.docx", "A 2839-2026")</f>
        <v/>
      </c>
      <c r="Z23">
        <f>HYPERLINK("https://klasma.github.io/Logging_1276/fåglar/A 2839-2026 prioriterade fågelarter.docx", "A 2839-2026")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46084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6890-2026</t>
        </is>
      </c>
      <c r="B25" s="1" t="n">
        <v>46057.471875</v>
      </c>
      <c r="C25" s="1" t="n">
        <v>46084</v>
      </c>
      <c r="D25" t="inlineStr">
        <is>
          <t>SKÅNE LÄN</t>
        </is>
      </c>
      <c r="E25" t="inlineStr">
        <is>
          <t>KLIPPAN</t>
        </is>
      </c>
      <c r="G25" t="n">
        <v>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6890-2026 artfynd.xlsx", "A 6890-2026")</f>
        <v/>
      </c>
      <c r="T25">
        <f>HYPERLINK("https://klasma.github.io/Logging_1276/kartor/A 6890-2026 karta.png", "A 6890-2026")</f>
        <v/>
      </c>
      <c r="V25">
        <f>HYPERLINK("https://klasma.github.io/Logging_1276/klagomål/A 6890-2026 FSC-klagomål.docx", "A 6890-2026")</f>
        <v/>
      </c>
      <c r="W25">
        <f>HYPERLINK("https://klasma.github.io/Logging_1276/klagomålsmail/A 6890-2026 FSC-klagomål mail.docx", "A 6890-2026")</f>
        <v/>
      </c>
      <c r="X25">
        <f>HYPERLINK("https://klasma.github.io/Logging_1276/tillsyn/A 6890-2026 tillsynsbegäran.docx", "A 6890-2026")</f>
        <v/>
      </c>
      <c r="Y25">
        <f>HYPERLINK("https://klasma.github.io/Logging_1276/tillsynsmail/A 6890-2026 tillsynsbegäran mail.docx", "A 6890-2026")</f>
        <v/>
      </c>
      <c r="Z25">
        <f>HYPERLINK("https://klasma.github.io/Logging_1276/fåglar/A 6890-2026 prioriterade fågelarter.docx", "A 6890-2026")</f>
        <v/>
      </c>
    </row>
    <row r="26" ht="15" customHeight="1">
      <c r="A26" t="inlineStr">
        <is>
          <t>A 14892-2023</t>
        </is>
      </c>
      <c r="B26" s="1" t="n">
        <v>45015</v>
      </c>
      <c r="C26" s="1" t="n">
        <v>46084</v>
      </c>
      <c r="D26" t="inlineStr">
        <is>
          <t>SKÅNE LÄN</t>
        </is>
      </c>
      <c r="E26" t="inlineStr">
        <is>
          <t>KLIPPAN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HYPERLINK("https://klasma.github.io/Logging_1276/artfynd/A 14892-2023 artfynd.xlsx", "A 14892-2023")</f>
        <v/>
      </c>
      <c r="T26">
        <f>HYPERLINK("https://klasma.github.io/Logging_1276/kartor/A 14892-2023 karta.png", "A 14892-2023")</f>
        <v/>
      </c>
      <c r="V26">
        <f>HYPERLINK("https://klasma.github.io/Logging_1276/klagomål/A 14892-2023 FSC-klagomål.docx", "A 14892-2023")</f>
        <v/>
      </c>
      <c r="W26">
        <f>HYPERLINK("https://klasma.github.io/Logging_1276/klagomålsmail/A 14892-2023 FSC-klagomål mail.docx", "A 14892-2023")</f>
        <v/>
      </c>
      <c r="X26">
        <f>HYPERLINK("https://klasma.github.io/Logging_1276/tillsyn/A 14892-2023 tillsynsbegäran.docx", "A 14892-2023")</f>
        <v/>
      </c>
      <c r="Y26">
        <f>HYPERLINK("https://klasma.github.io/Logging_1276/tillsynsmail/A 14892-2023 tillsynsbegäran mail.docx", "A 14892-2023")</f>
        <v/>
      </c>
      <c r="Z26">
        <f>HYPERLINK("https://klasma.github.io/Logging_1276/fåglar/A 14892-2023 prioriterade fågelarter.docx", "A 14892-2023")</f>
        <v/>
      </c>
    </row>
    <row r="27" ht="15" customHeight="1">
      <c r="A27" t="inlineStr">
        <is>
          <t>A 50089-2023</t>
        </is>
      </c>
      <c r="B27" s="1" t="n">
        <v>45208</v>
      </c>
      <c r="C27" s="1" t="n">
        <v>46084</v>
      </c>
      <c r="D27" t="inlineStr">
        <is>
          <t>SKÅNE LÄN</t>
        </is>
      </c>
      <c r="E27" t="inlineStr">
        <is>
          <t>KLIPPAN</t>
        </is>
      </c>
      <c r="G27" t="n">
        <v>13.6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50089-2023 artfynd.xlsx", "A 50089-2023")</f>
        <v/>
      </c>
      <c r="T27">
        <f>HYPERLINK("https://klasma.github.io/Logging_1276/kartor/A 50089-2023 karta.png", "A 50089-2023")</f>
        <v/>
      </c>
      <c r="V27">
        <f>HYPERLINK("https://klasma.github.io/Logging_1276/klagomål/A 50089-2023 FSC-klagomål.docx", "A 50089-2023")</f>
        <v/>
      </c>
      <c r="W27">
        <f>HYPERLINK("https://klasma.github.io/Logging_1276/klagomålsmail/A 50089-2023 FSC-klagomål mail.docx", "A 50089-2023")</f>
        <v/>
      </c>
      <c r="X27">
        <f>HYPERLINK("https://klasma.github.io/Logging_1276/tillsyn/A 50089-2023 tillsynsbegäran.docx", "A 50089-2023")</f>
        <v/>
      </c>
      <c r="Y27">
        <f>HYPERLINK("https://klasma.github.io/Logging_1276/tillsynsmail/A 50089-2023 tillsynsbegäran mail.docx", "A 50089-2023")</f>
        <v/>
      </c>
      <c r="Z27">
        <f>HYPERLINK("https://klasma.github.io/Logging_1276/fåglar/A 50089-2023 prioriterade fågelarter.docx", "A 50089-2023")</f>
        <v/>
      </c>
    </row>
    <row r="28" ht="15" customHeight="1">
      <c r="A28" t="inlineStr">
        <is>
          <t>A 55629-2022</t>
        </is>
      </c>
      <c r="B28" s="1" t="n">
        <v>44883</v>
      </c>
      <c r="C28" s="1" t="n">
        <v>46084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16189-2021</t>
        </is>
      </c>
      <c r="B29" s="1" t="n">
        <v>44287</v>
      </c>
      <c r="C29" s="1" t="n">
        <v>46084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31097-2021</t>
        </is>
      </c>
      <c r="B30" s="1" t="n">
        <v>44368.50049768519</v>
      </c>
      <c r="C30" s="1" t="n">
        <v>46084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46084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46084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46084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19097-2022</t>
        </is>
      </c>
      <c r="B34" s="1" t="n">
        <v>44691.52568287037</v>
      </c>
      <c r="C34" s="1" t="n">
        <v>46084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20010-2022</t>
        </is>
      </c>
      <c r="B35" s="1" t="n">
        <v>44697.63137731481</v>
      </c>
      <c r="C35" s="1" t="n">
        <v>46084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46084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46084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57952-2021</t>
        </is>
      </c>
      <c r="B38" s="1" t="n">
        <v>44487</v>
      </c>
      <c r="C38" s="1" t="n">
        <v>46084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2045-2022</t>
        </is>
      </c>
      <c r="B39" s="1" t="n">
        <v>44575</v>
      </c>
      <c r="C39" s="1" t="n">
        <v>46084</v>
      </c>
      <c r="D39" t="inlineStr">
        <is>
          <t>SKÅNE LÄN</t>
        </is>
      </c>
      <c r="E39" t="inlineStr">
        <is>
          <t>KLIPPAN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46084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46084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46084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30195-2021</t>
        </is>
      </c>
      <c r="B43" s="1" t="n">
        <v>44363</v>
      </c>
      <c r="C43" s="1" t="n">
        <v>46084</v>
      </c>
      <c r="D43" t="inlineStr">
        <is>
          <t>SKÅNE LÄN</t>
        </is>
      </c>
      <c r="E43" t="inlineStr">
        <is>
          <t>KLIPPAN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46084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20690-2022</t>
        </is>
      </c>
      <c r="B45" s="1" t="n">
        <v>44700</v>
      </c>
      <c r="C45" s="1" t="n">
        <v>46084</v>
      </c>
      <c r="D45" t="inlineStr">
        <is>
          <t>SKÅNE LÄN</t>
        </is>
      </c>
      <c r="E45" t="inlineStr">
        <is>
          <t>KLIPPAN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54516-2022</t>
        </is>
      </c>
      <c r="B46" s="1" t="n">
        <v>44880</v>
      </c>
      <c r="C46" s="1" t="n">
        <v>46084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39056-2022</t>
        </is>
      </c>
      <c r="B47" s="1" t="n">
        <v>44816</v>
      </c>
      <c r="C47" s="1" t="n">
        <v>46084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7839-2022</t>
        </is>
      </c>
      <c r="B48" s="1" t="n">
        <v>44608</v>
      </c>
      <c r="C48" s="1" t="n">
        <v>46084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17425-2022</t>
        </is>
      </c>
      <c r="B49" s="1" t="n">
        <v>44679.2472337963</v>
      </c>
      <c r="C49" s="1" t="n">
        <v>46084</v>
      </c>
      <c r="D49" t="inlineStr">
        <is>
          <t>SKÅNE LÄN</t>
        </is>
      </c>
      <c r="E49" t="inlineStr">
        <is>
          <t>KLIPPAN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46084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46084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47967-2021</t>
        </is>
      </c>
      <c r="B52" s="1" t="n">
        <v>44448</v>
      </c>
      <c r="C52" s="1" t="n">
        <v>46084</v>
      </c>
      <c r="D52" t="inlineStr">
        <is>
          <t>SKÅNE LÄN</t>
        </is>
      </c>
      <c r="E52" t="inlineStr">
        <is>
          <t>KLIPPAN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46084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4321-2024</t>
        </is>
      </c>
      <c r="B54" s="1" t="n">
        <v>45324.66635416666</v>
      </c>
      <c r="C54" s="1" t="n">
        <v>46084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32455-2022</t>
        </is>
      </c>
      <c r="B55" s="1" t="n">
        <v>44782.541875</v>
      </c>
      <c r="C55" s="1" t="n">
        <v>46084</v>
      </c>
      <c r="D55" t="inlineStr">
        <is>
          <t>SKÅNE LÄN</t>
        </is>
      </c>
      <c r="E55" t="inlineStr">
        <is>
          <t>KLIPPAN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62473-2023</t>
        </is>
      </c>
      <c r="B56" s="1" t="n">
        <v>45267</v>
      </c>
      <c r="C56" s="1" t="n">
        <v>46084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8500-2023</t>
        </is>
      </c>
      <c r="B57" s="1" t="n">
        <v>44977</v>
      </c>
      <c r="C57" s="1" t="n">
        <v>46084</v>
      </c>
      <c r="D57" t="inlineStr">
        <is>
          <t>SKÅNE LÄN</t>
        </is>
      </c>
      <c r="E57" t="inlineStr">
        <is>
          <t>KLIPPAN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41268-2022</t>
        </is>
      </c>
      <c r="B58" s="1" t="n">
        <v>44825</v>
      </c>
      <c r="C58" s="1" t="n">
        <v>46084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55415-2022</t>
        </is>
      </c>
      <c r="B59" s="1" t="n">
        <v>44882</v>
      </c>
      <c r="C59" s="1" t="n">
        <v>46084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55291-2023</t>
        </is>
      </c>
      <c r="B60" s="1" t="n">
        <v>45237</v>
      </c>
      <c r="C60" s="1" t="n">
        <v>46084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16399-2025</t>
        </is>
      </c>
      <c r="B61" s="1" t="n">
        <v>45751</v>
      </c>
      <c r="C61" s="1" t="n">
        <v>46084</v>
      </c>
      <c r="D61" t="inlineStr">
        <is>
          <t>SKÅNE LÄN</t>
        </is>
      </c>
      <c r="E61" t="inlineStr">
        <is>
          <t>KLIPPAN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69041-2021</t>
        </is>
      </c>
      <c r="B62" s="1" t="n">
        <v>44529</v>
      </c>
      <c r="C62" s="1" t="n">
        <v>46084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51276-2024</t>
        </is>
      </c>
      <c r="B63" s="1" t="n">
        <v>45603</v>
      </c>
      <c r="C63" s="1" t="n">
        <v>46084</v>
      </c>
      <c r="D63" t="inlineStr">
        <is>
          <t>SKÅNE LÄN</t>
        </is>
      </c>
      <c r="E63" t="inlineStr">
        <is>
          <t>KLIPPAN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40173-2024</t>
        </is>
      </c>
      <c r="B64" s="1" t="n">
        <v>45554.55435185185</v>
      </c>
      <c r="C64" s="1" t="n">
        <v>46084</v>
      </c>
      <c r="D64" t="inlineStr">
        <is>
          <t>SKÅNE LÄN</t>
        </is>
      </c>
      <c r="E64" t="inlineStr">
        <is>
          <t>KLIPPAN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7746-2024</t>
        </is>
      </c>
      <c r="B65" s="1" t="n">
        <v>45349</v>
      </c>
      <c r="C65" s="1" t="n">
        <v>46084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17792-2021</t>
        </is>
      </c>
      <c r="B66" s="1" t="n">
        <v>44300</v>
      </c>
      <c r="C66" s="1" t="n">
        <v>46084</v>
      </c>
      <c r="D66" t="inlineStr">
        <is>
          <t>SKÅNE LÄN</t>
        </is>
      </c>
      <c r="E66" t="inlineStr">
        <is>
          <t>KLIPPAN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11105-2021</t>
        </is>
      </c>
      <c r="B67" s="1" t="n">
        <v>44259</v>
      </c>
      <c r="C67" s="1" t="n">
        <v>46084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243-2025</t>
        </is>
      </c>
      <c r="B68" s="1" t="n">
        <v>45660</v>
      </c>
      <c r="C68" s="1" t="n">
        <v>46084</v>
      </c>
      <c r="D68" t="inlineStr">
        <is>
          <t>SKÅNE LÄN</t>
        </is>
      </c>
      <c r="E68" t="inlineStr">
        <is>
          <t>KLIPPAN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55613-2022</t>
        </is>
      </c>
      <c r="B69" s="1" t="n">
        <v>44883</v>
      </c>
      <c r="C69" s="1" t="n">
        <v>46084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52851-2024</t>
        </is>
      </c>
      <c r="B70" s="1" t="n">
        <v>45610</v>
      </c>
      <c r="C70" s="1" t="n">
        <v>46084</v>
      </c>
      <c r="D70" t="inlineStr">
        <is>
          <t>SKÅNE LÄN</t>
        </is>
      </c>
      <c r="E70" t="inlineStr">
        <is>
          <t>KLIPPAN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23260-2023</t>
        </is>
      </c>
      <c r="B71" s="1" t="n">
        <v>45075.87199074074</v>
      </c>
      <c r="C71" s="1" t="n">
        <v>46084</v>
      </c>
      <c r="D71" t="inlineStr">
        <is>
          <t>SKÅNE LÄN</t>
        </is>
      </c>
      <c r="E71" t="inlineStr">
        <is>
          <t>KLIPPAN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22540-2025</t>
        </is>
      </c>
      <c r="B72" s="1" t="n">
        <v>45788.30451388889</v>
      </c>
      <c r="C72" s="1" t="n">
        <v>46084</v>
      </c>
      <c r="D72" t="inlineStr">
        <is>
          <t>SKÅNE LÄN</t>
        </is>
      </c>
      <c r="E72" t="inlineStr">
        <is>
          <t>KLIPPAN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36606-2024</t>
        </is>
      </c>
      <c r="B73" s="1" t="n">
        <v>45537.56913194444</v>
      </c>
      <c r="C73" s="1" t="n">
        <v>46084</v>
      </c>
      <c r="D73" t="inlineStr">
        <is>
          <t>SKÅNE LÄN</t>
        </is>
      </c>
      <c r="E73" t="inlineStr">
        <is>
          <t>KLIPPAN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55586-2021</t>
        </is>
      </c>
      <c r="B74" s="1" t="n">
        <v>44475.88427083333</v>
      </c>
      <c r="C74" s="1" t="n">
        <v>46084</v>
      </c>
      <c r="D74" t="inlineStr">
        <is>
          <t>SKÅNE LÄN</t>
        </is>
      </c>
      <c r="E74" t="inlineStr">
        <is>
          <t>KLIPPAN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15810-2024</t>
        </is>
      </c>
      <c r="B75" s="1" t="n">
        <v>45404</v>
      </c>
      <c r="C75" s="1" t="n">
        <v>46084</v>
      </c>
      <c r="D75" t="inlineStr">
        <is>
          <t>SKÅNE LÄN</t>
        </is>
      </c>
      <c r="E75" t="inlineStr">
        <is>
          <t>KLIPPAN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19097-2025</t>
        </is>
      </c>
      <c r="B76" s="1" t="n">
        <v>45767.68126157407</v>
      </c>
      <c r="C76" s="1" t="n">
        <v>46084</v>
      </c>
      <c r="D76" t="inlineStr">
        <is>
          <t>SKÅNE LÄN</t>
        </is>
      </c>
      <c r="E76" t="inlineStr">
        <is>
          <t>KLIPPAN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10695-2023</t>
        </is>
      </c>
      <c r="B77" s="1" t="n">
        <v>44988</v>
      </c>
      <c r="C77" s="1" t="n">
        <v>46084</v>
      </c>
      <c r="D77" t="inlineStr">
        <is>
          <t>SKÅNE LÄN</t>
        </is>
      </c>
      <c r="E77" t="inlineStr">
        <is>
          <t>KLIPPAN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27529-2025</t>
        </is>
      </c>
      <c r="B78" s="1" t="n">
        <v>45813</v>
      </c>
      <c r="C78" s="1" t="n">
        <v>46084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24217-2025</t>
        </is>
      </c>
      <c r="B79" s="1" t="n">
        <v>45797.35565972222</v>
      </c>
      <c r="C79" s="1" t="n">
        <v>46084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44885-2022</t>
        </is>
      </c>
      <c r="B80" s="1" t="n">
        <v>44841</v>
      </c>
      <c r="C80" s="1" t="n">
        <v>46084</v>
      </c>
      <c r="D80" t="inlineStr">
        <is>
          <t>SKÅNE LÄN</t>
        </is>
      </c>
      <c r="E80" t="inlineStr">
        <is>
          <t>KLIPPAN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43855-2022</t>
        </is>
      </c>
      <c r="B81" s="1" t="n">
        <v>44838</v>
      </c>
      <c r="C81" s="1" t="n">
        <v>46084</v>
      </c>
      <c r="D81" t="inlineStr">
        <is>
          <t>SKÅNE LÄN</t>
        </is>
      </c>
      <c r="E81" t="inlineStr">
        <is>
          <t>KLIPPAN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24815-2025</t>
        </is>
      </c>
      <c r="B82" s="1" t="n">
        <v>45799.44935185185</v>
      </c>
      <c r="C82" s="1" t="n">
        <v>46084</v>
      </c>
      <c r="D82" t="inlineStr">
        <is>
          <t>SKÅNE LÄN</t>
        </is>
      </c>
      <c r="E82" t="inlineStr">
        <is>
          <t>KLIPPAN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44228-2024</t>
        </is>
      </c>
      <c r="B83" s="1" t="n">
        <v>45573</v>
      </c>
      <c r="C83" s="1" t="n">
        <v>46084</v>
      </c>
      <c r="D83" t="inlineStr">
        <is>
          <t>SKÅNE LÄN</t>
        </is>
      </c>
      <c r="E83" t="inlineStr">
        <is>
          <t>KLIPPAN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49989-2024</t>
        </is>
      </c>
      <c r="B84" s="1" t="n">
        <v>45597</v>
      </c>
      <c r="C84" s="1" t="n">
        <v>46084</v>
      </c>
      <c r="D84" t="inlineStr">
        <is>
          <t>SKÅNE LÄN</t>
        </is>
      </c>
      <c r="E84" t="inlineStr">
        <is>
          <t>KLIPPAN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69394-2021</t>
        </is>
      </c>
      <c r="B85" s="1" t="n">
        <v>44531</v>
      </c>
      <c r="C85" s="1" t="n">
        <v>46084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14614-2023</t>
        </is>
      </c>
      <c r="B86" s="1" t="n">
        <v>45013</v>
      </c>
      <c r="C86" s="1" t="n">
        <v>46084</v>
      </c>
      <c r="D86" t="inlineStr">
        <is>
          <t>SKÅNE LÄN</t>
        </is>
      </c>
      <c r="E86" t="inlineStr">
        <is>
          <t>KLIPPAN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42423-2025</t>
        </is>
      </c>
      <c r="B87" s="1" t="n">
        <v>45905.41005787037</v>
      </c>
      <c r="C87" s="1" t="n">
        <v>46084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42627-2025</t>
        </is>
      </c>
      <c r="B88" s="1" t="n">
        <v>45905.77766203704</v>
      </c>
      <c r="C88" s="1" t="n">
        <v>46084</v>
      </c>
      <c r="D88" t="inlineStr">
        <is>
          <t>SKÅNE LÄN</t>
        </is>
      </c>
      <c r="E88" t="inlineStr">
        <is>
          <t>KLIPPAN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8017-2022</t>
        </is>
      </c>
      <c r="B89" s="1" t="n">
        <v>44609.39615740741</v>
      </c>
      <c r="C89" s="1" t="n">
        <v>46084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3198-2023</t>
        </is>
      </c>
      <c r="B90" s="1" t="n">
        <v>44944</v>
      </c>
      <c r="C90" s="1" t="n">
        <v>46084</v>
      </c>
      <c r="D90" t="inlineStr">
        <is>
          <t>SKÅNE LÄN</t>
        </is>
      </c>
      <c r="E90" t="inlineStr">
        <is>
          <t>KLIPPAN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34051-2024</t>
        </is>
      </c>
      <c r="B91" s="1" t="n">
        <v>45523</v>
      </c>
      <c r="C91" s="1" t="n">
        <v>46084</v>
      </c>
      <c r="D91" t="inlineStr">
        <is>
          <t>SKÅNE LÄN</t>
        </is>
      </c>
      <c r="E91" t="inlineStr">
        <is>
          <t>KLIPPAN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34479-2025</t>
        </is>
      </c>
      <c r="B92" s="1" t="n">
        <v>45847.37570601852</v>
      </c>
      <c r="C92" s="1" t="n">
        <v>46084</v>
      </c>
      <c r="D92" t="inlineStr">
        <is>
          <t>SKÅNE LÄN</t>
        </is>
      </c>
      <c r="E92" t="inlineStr">
        <is>
          <t>KLIPPAN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27898-2025</t>
        </is>
      </c>
      <c r="B93" s="1" t="n">
        <v>45817</v>
      </c>
      <c r="C93" s="1" t="n">
        <v>46084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13995-2025</t>
        </is>
      </c>
      <c r="B94" s="1" t="n">
        <v>45739.74271990741</v>
      </c>
      <c r="C94" s="1" t="n">
        <v>46084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59482-2024</t>
        </is>
      </c>
      <c r="B95" s="1" t="n">
        <v>45638.52831018518</v>
      </c>
      <c r="C95" s="1" t="n">
        <v>46084</v>
      </c>
      <c r="D95" t="inlineStr">
        <is>
          <t>SKÅNE LÄN</t>
        </is>
      </c>
      <c r="E95" t="inlineStr">
        <is>
          <t>KLIPPAN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27010-2023</t>
        </is>
      </c>
      <c r="B96" s="1" t="n">
        <v>45094.36791666667</v>
      </c>
      <c r="C96" s="1" t="n">
        <v>46084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10544-2025</t>
        </is>
      </c>
      <c r="B97" s="1" t="n">
        <v>45721.48859953704</v>
      </c>
      <c r="C97" s="1" t="n">
        <v>46084</v>
      </c>
      <c r="D97" t="inlineStr">
        <is>
          <t>SKÅNE LÄN</t>
        </is>
      </c>
      <c r="E97" t="inlineStr">
        <is>
          <t>KLIPPAN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42275-2024</t>
        </is>
      </c>
      <c r="B98" s="1" t="n">
        <v>45562.60690972222</v>
      </c>
      <c r="C98" s="1" t="n">
        <v>46084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42303-2024</t>
        </is>
      </c>
      <c r="B99" s="1" t="n">
        <v>45562.6322337963</v>
      </c>
      <c r="C99" s="1" t="n">
        <v>46084</v>
      </c>
      <c r="D99" t="inlineStr">
        <is>
          <t>SKÅNE LÄN</t>
        </is>
      </c>
      <c r="E99" t="inlineStr">
        <is>
          <t>KLIPPAN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43698-2025</t>
        </is>
      </c>
      <c r="B100" s="1" t="n">
        <v>45912.39892361111</v>
      </c>
      <c r="C100" s="1" t="n">
        <v>46084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53868-2022</t>
        </is>
      </c>
      <c r="B101" s="1" t="n">
        <v>44880.64693287037</v>
      </c>
      <c r="C101" s="1" t="n">
        <v>46084</v>
      </c>
      <c r="D101" t="inlineStr">
        <is>
          <t>SKÅNE LÄN</t>
        </is>
      </c>
      <c r="E101" t="inlineStr">
        <is>
          <t>KLIPPAN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24034-2023</t>
        </is>
      </c>
      <c r="B102" s="1" t="n">
        <v>45078.86898148148</v>
      </c>
      <c r="C102" s="1" t="n">
        <v>46084</v>
      </c>
      <c r="D102" t="inlineStr">
        <is>
          <t>SKÅNE LÄN</t>
        </is>
      </c>
      <c r="E102" t="inlineStr">
        <is>
          <t>KLIPPAN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25393-2023</t>
        </is>
      </c>
      <c r="B103" s="1" t="n">
        <v>45079</v>
      </c>
      <c r="C103" s="1" t="n">
        <v>46084</v>
      </c>
      <c r="D103" t="inlineStr">
        <is>
          <t>SKÅNE LÄN</t>
        </is>
      </c>
      <c r="E103" t="inlineStr">
        <is>
          <t>KLIPPAN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5196-2022</t>
        </is>
      </c>
      <c r="B104" s="1" t="n">
        <v>44593</v>
      </c>
      <c r="C104" s="1" t="n">
        <v>46084</v>
      </c>
      <c r="D104" t="inlineStr">
        <is>
          <t>SKÅNE LÄN</t>
        </is>
      </c>
      <c r="E104" t="inlineStr">
        <is>
          <t>KLIPPAN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14620-2025</t>
        </is>
      </c>
      <c r="B105" s="1" t="n">
        <v>45742.41289351852</v>
      </c>
      <c r="C105" s="1" t="n">
        <v>46084</v>
      </c>
      <c r="D105" t="inlineStr">
        <is>
          <t>SKÅNE LÄN</t>
        </is>
      </c>
      <c r="E105" t="inlineStr">
        <is>
          <t>KLIPPAN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45096-2025</t>
        </is>
      </c>
      <c r="B106" s="1" t="n">
        <v>45919.38780092593</v>
      </c>
      <c r="C106" s="1" t="n">
        <v>46084</v>
      </c>
      <c r="D106" t="inlineStr">
        <is>
          <t>SKÅNE LÄN</t>
        </is>
      </c>
      <c r="E106" t="inlineStr">
        <is>
          <t>KLIPPAN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45574-2025</t>
        </is>
      </c>
      <c r="B107" s="1" t="n">
        <v>45922.65922453703</v>
      </c>
      <c r="C107" s="1" t="n">
        <v>46084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52838-2024</t>
        </is>
      </c>
      <c r="B108" s="1" t="n">
        <v>45610</v>
      </c>
      <c r="C108" s="1" t="n">
        <v>46084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45717-2025</t>
        </is>
      </c>
      <c r="B109" s="1" t="n">
        <v>45923.44155092593</v>
      </c>
      <c r="C109" s="1" t="n">
        <v>46084</v>
      </c>
      <c r="D109" t="inlineStr">
        <is>
          <t>SKÅNE LÄN</t>
        </is>
      </c>
      <c r="E109" t="inlineStr">
        <is>
          <t>KLIPPAN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45886-2025</t>
        </is>
      </c>
      <c r="B110" s="1" t="n">
        <v>45923.66560185186</v>
      </c>
      <c r="C110" s="1" t="n">
        <v>46084</v>
      </c>
      <c r="D110" t="inlineStr">
        <is>
          <t>SKÅNE LÄN</t>
        </is>
      </c>
      <c r="E110" t="inlineStr">
        <is>
          <t>KLIPPAN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29284-2025</t>
        </is>
      </c>
      <c r="B111" s="1" t="n">
        <v>45824</v>
      </c>
      <c r="C111" s="1" t="n">
        <v>46084</v>
      </c>
      <c r="D111" t="inlineStr">
        <is>
          <t>SKÅNE LÄN</t>
        </is>
      </c>
      <c r="E111" t="inlineStr">
        <is>
          <t>KLIPPAN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46138-2025</t>
        </is>
      </c>
      <c r="B112" s="1" t="n">
        <v>45924.59914351852</v>
      </c>
      <c r="C112" s="1" t="n">
        <v>46084</v>
      </c>
      <c r="D112" t="inlineStr">
        <is>
          <t>SKÅNE LÄN</t>
        </is>
      </c>
      <c r="E112" t="inlineStr">
        <is>
          <t>KLIPPAN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45641-2022</t>
        </is>
      </c>
      <c r="B113" s="1" t="n">
        <v>44845</v>
      </c>
      <c r="C113" s="1" t="n">
        <v>46084</v>
      </c>
      <c r="D113" t="inlineStr">
        <is>
          <t>SKÅNE LÄN</t>
        </is>
      </c>
      <c r="E113" t="inlineStr">
        <is>
          <t>KLIPPAN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21636-2024</t>
        </is>
      </c>
      <c r="B114" s="1" t="n">
        <v>45442</v>
      </c>
      <c r="C114" s="1" t="n">
        <v>46084</v>
      </c>
      <c r="D114" t="inlineStr">
        <is>
          <t>SKÅNE LÄN</t>
        </is>
      </c>
      <c r="E114" t="inlineStr">
        <is>
          <t>KLIPPAN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37967-2024</t>
        </is>
      </c>
      <c r="B115" s="1" t="n">
        <v>45544.55668981482</v>
      </c>
      <c r="C115" s="1" t="n">
        <v>46084</v>
      </c>
      <c r="D115" t="inlineStr">
        <is>
          <t>SKÅNE LÄN</t>
        </is>
      </c>
      <c r="E115" t="inlineStr">
        <is>
          <t>KLIPPAN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32132-2025</t>
        </is>
      </c>
      <c r="B116" s="1" t="n">
        <v>45835.50878472222</v>
      </c>
      <c r="C116" s="1" t="n">
        <v>46084</v>
      </c>
      <c r="D116" t="inlineStr">
        <is>
          <t>SKÅNE LÄN</t>
        </is>
      </c>
      <c r="E116" t="inlineStr">
        <is>
          <t>KLIPPAN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60783-2023</t>
        </is>
      </c>
      <c r="B117" s="1" t="n">
        <v>45260.6441087963</v>
      </c>
      <c r="C117" s="1" t="n">
        <v>46084</v>
      </c>
      <c r="D117" t="inlineStr">
        <is>
          <t>SKÅNE LÄN</t>
        </is>
      </c>
      <c r="E117" t="inlineStr">
        <is>
          <t>KLIPPAN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14619-2023</t>
        </is>
      </c>
      <c r="B118" s="1" t="n">
        <v>45013</v>
      </c>
      <c r="C118" s="1" t="n">
        <v>46084</v>
      </c>
      <c r="D118" t="inlineStr">
        <is>
          <t>SKÅNE LÄN</t>
        </is>
      </c>
      <c r="E118" t="inlineStr">
        <is>
          <t>KLIPPAN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33450-2025</t>
        </is>
      </c>
      <c r="B119" s="1" t="n">
        <v>45841.46677083334</v>
      </c>
      <c r="C119" s="1" t="n">
        <v>46084</v>
      </c>
      <c r="D119" t="inlineStr">
        <is>
          <t>SKÅNE LÄN</t>
        </is>
      </c>
      <c r="E119" t="inlineStr">
        <is>
          <t>KLIPPAN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33456-2025</t>
        </is>
      </c>
      <c r="B120" s="1" t="n">
        <v>45841.47364583334</v>
      </c>
      <c r="C120" s="1" t="n">
        <v>46084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27454-2024</t>
        </is>
      </c>
      <c r="B121" s="1" t="n">
        <v>45474</v>
      </c>
      <c r="C121" s="1" t="n">
        <v>46084</v>
      </c>
      <c r="D121" t="inlineStr">
        <is>
          <t>SKÅNE LÄN</t>
        </is>
      </c>
      <c r="E121" t="inlineStr">
        <is>
          <t>KLIPPAN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11335-2023</t>
        </is>
      </c>
      <c r="B122" s="1" t="n">
        <v>44993</v>
      </c>
      <c r="C122" s="1" t="n">
        <v>46084</v>
      </c>
      <c r="D122" t="inlineStr">
        <is>
          <t>SKÅNE LÄN</t>
        </is>
      </c>
      <c r="E122" t="inlineStr">
        <is>
          <t>KLIPPAN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13363-2023</t>
        </is>
      </c>
      <c r="B123" s="1" t="n">
        <v>45005</v>
      </c>
      <c r="C123" s="1" t="n">
        <v>46084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5151-2022</t>
        </is>
      </c>
      <c r="B124" s="1" t="n">
        <v>44593</v>
      </c>
      <c r="C124" s="1" t="n">
        <v>46084</v>
      </c>
      <c r="D124" t="inlineStr">
        <is>
          <t>SKÅNE LÄN</t>
        </is>
      </c>
      <c r="E124" t="inlineStr">
        <is>
          <t>KLIPPAN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33761-2025</t>
        </is>
      </c>
      <c r="B125" s="1" t="n">
        <v>45842.38335648148</v>
      </c>
      <c r="C125" s="1" t="n">
        <v>46084</v>
      </c>
      <c r="D125" t="inlineStr">
        <is>
          <t>SKÅNE LÄN</t>
        </is>
      </c>
      <c r="E125" t="inlineStr">
        <is>
          <t>KLIPPAN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23741-2023</t>
        </is>
      </c>
      <c r="B126" s="1" t="n">
        <v>45077.77087962963</v>
      </c>
      <c r="C126" s="1" t="n">
        <v>46084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33766-2025</t>
        </is>
      </c>
      <c r="B127" s="1" t="n">
        <v>45842.3869675926</v>
      </c>
      <c r="C127" s="1" t="n">
        <v>46084</v>
      </c>
      <c r="D127" t="inlineStr">
        <is>
          <t>SKÅNE LÄN</t>
        </is>
      </c>
      <c r="E127" t="inlineStr">
        <is>
          <t>KLIPPAN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34472-2025</t>
        </is>
      </c>
      <c r="B128" s="1" t="n">
        <v>45847.35877314815</v>
      </c>
      <c r="C128" s="1" t="n">
        <v>46084</v>
      </c>
      <c r="D128" t="inlineStr">
        <is>
          <t>SKÅNE LÄN</t>
        </is>
      </c>
      <c r="E128" t="inlineStr">
        <is>
          <t>KLIPPAN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49394-2025</t>
        </is>
      </c>
      <c r="B129" s="1" t="n">
        <v>45938.65101851852</v>
      </c>
      <c r="C129" s="1" t="n">
        <v>46084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46147-2022</t>
        </is>
      </c>
      <c r="B130" s="1" t="n">
        <v>44846</v>
      </c>
      <c r="C130" s="1" t="n">
        <v>46084</v>
      </c>
      <c r="D130" t="inlineStr">
        <is>
          <t>SKÅNE LÄN</t>
        </is>
      </c>
      <c r="E130" t="inlineStr">
        <is>
          <t>KLIPPAN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47870-2022</t>
        </is>
      </c>
      <c r="B131" s="1" t="n">
        <v>44855.43302083333</v>
      </c>
      <c r="C131" s="1" t="n">
        <v>46084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50163-2025</t>
        </is>
      </c>
      <c r="B132" s="1" t="n">
        <v>45943.58734953704</v>
      </c>
      <c r="C132" s="1" t="n">
        <v>46084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28844-2023</t>
        </is>
      </c>
      <c r="B133" s="1" t="n">
        <v>45104</v>
      </c>
      <c r="C133" s="1" t="n">
        <v>46084</v>
      </c>
      <c r="D133" t="inlineStr">
        <is>
          <t>SKÅNE LÄN</t>
        </is>
      </c>
      <c r="E133" t="inlineStr">
        <is>
          <t>KLIPPAN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40105-2025</t>
        </is>
      </c>
      <c r="B134" s="1" t="n">
        <v>45894</v>
      </c>
      <c r="C134" s="1" t="n">
        <v>46084</v>
      </c>
      <c r="D134" t="inlineStr">
        <is>
          <t>SKÅNE LÄN</t>
        </is>
      </c>
      <c r="E134" t="inlineStr">
        <is>
          <t>KLIPPAN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40092-2025</t>
        </is>
      </c>
      <c r="B135" s="1" t="n">
        <v>45894</v>
      </c>
      <c r="C135" s="1" t="n">
        <v>46084</v>
      </c>
      <c r="D135" t="inlineStr">
        <is>
          <t>SKÅNE LÄN</t>
        </is>
      </c>
      <c r="E135" t="inlineStr">
        <is>
          <t>KLIPPAN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27813-2023</t>
        </is>
      </c>
      <c r="B136" s="1" t="n">
        <v>45098</v>
      </c>
      <c r="C136" s="1" t="n">
        <v>46084</v>
      </c>
      <c r="D136" t="inlineStr">
        <is>
          <t>SKÅNE LÄN</t>
        </is>
      </c>
      <c r="E136" t="inlineStr">
        <is>
          <t>KLIPPAN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58387-2022</t>
        </is>
      </c>
      <c r="B137" s="1" t="n">
        <v>44901</v>
      </c>
      <c r="C137" s="1" t="n">
        <v>46084</v>
      </c>
      <c r="D137" t="inlineStr">
        <is>
          <t>SKÅNE LÄN</t>
        </is>
      </c>
      <c r="E137" t="inlineStr">
        <is>
          <t>KLIPPAN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27452-2024</t>
        </is>
      </c>
      <c r="B138" s="1" t="n">
        <v>45474</v>
      </c>
      <c r="C138" s="1" t="n">
        <v>46084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45596-2024</t>
        </is>
      </c>
      <c r="B139" s="1" t="n">
        <v>45579</v>
      </c>
      <c r="C139" s="1" t="n">
        <v>46084</v>
      </c>
      <c r="D139" t="inlineStr">
        <is>
          <t>SKÅNE LÄN</t>
        </is>
      </c>
      <c r="E139" t="inlineStr">
        <is>
          <t>KLIPPAN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38323-2023</t>
        </is>
      </c>
      <c r="B140" s="1" t="n">
        <v>45161</v>
      </c>
      <c r="C140" s="1" t="n">
        <v>46084</v>
      </c>
      <c r="D140" t="inlineStr">
        <is>
          <t>SKÅNE LÄN</t>
        </is>
      </c>
      <c r="E140" t="inlineStr">
        <is>
          <t>KLIPPAN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38325-2023</t>
        </is>
      </c>
      <c r="B141" s="1" t="n">
        <v>45161</v>
      </c>
      <c r="C141" s="1" t="n">
        <v>46084</v>
      </c>
      <c r="D141" t="inlineStr">
        <is>
          <t>SKÅNE LÄN</t>
        </is>
      </c>
      <c r="E141" t="inlineStr">
        <is>
          <t>KLIPPAN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51396-2025</t>
        </is>
      </c>
      <c r="B142" s="1" t="n">
        <v>45950.47131944444</v>
      </c>
      <c r="C142" s="1" t="n">
        <v>46084</v>
      </c>
      <c r="D142" t="inlineStr">
        <is>
          <t>SKÅNE LÄN</t>
        </is>
      </c>
      <c r="E142" t="inlineStr">
        <is>
          <t>KLIPPAN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51946-2025</t>
        </is>
      </c>
      <c r="B143" s="1" t="n">
        <v>45951</v>
      </c>
      <c r="C143" s="1" t="n">
        <v>46084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51384-2025</t>
        </is>
      </c>
      <c r="B144" s="1" t="n">
        <v>45950.46399305556</v>
      </c>
      <c r="C144" s="1" t="n">
        <v>46084</v>
      </c>
      <c r="D144" t="inlineStr">
        <is>
          <t>SKÅNE LÄN</t>
        </is>
      </c>
      <c r="E144" t="inlineStr">
        <is>
          <t>KLIPPAN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22120-2025</t>
        </is>
      </c>
      <c r="B145" s="1" t="n">
        <v>45785.5165625</v>
      </c>
      <c r="C145" s="1" t="n">
        <v>46084</v>
      </c>
      <c r="D145" t="inlineStr">
        <is>
          <t>SKÅNE LÄN</t>
        </is>
      </c>
      <c r="E145" t="inlineStr">
        <is>
          <t>KLIPPAN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21654-2024</t>
        </is>
      </c>
      <c r="B146" s="1" t="n">
        <v>45442</v>
      </c>
      <c r="C146" s="1" t="n">
        <v>46084</v>
      </c>
      <c r="D146" t="inlineStr">
        <is>
          <t>SKÅNE LÄN</t>
        </is>
      </c>
      <c r="E146" t="inlineStr">
        <is>
          <t>KLIPPAN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1280-2023</t>
        </is>
      </c>
      <c r="B147" s="1" t="n">
        <v>44936</v>
      </c>
      <c r="C147" s="1" t="n">
        <v>46084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20591-2023</t>
        </is>
      </c>
      <c r="B148" s="1" t="n">
        <v>45055</v>
      </c>
      <c r="C148" s="1" t="n">
        <v>46084</v>
      </c>
      <c r="D148" t="inlineStr">
        <is>
          <t>SKÅNE LÄN</t>
        </is>
      </c>
      <c r="E148" t="inlineStr">
        <is>
          <t>KLIPPAN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46084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593-2023</t>
        </is>
      </c>
      <c r="B150" s="1" t="n">
        <v>44930.55528935185</v>
      </c>
      <c r="C150" s="1" t="n">
        <v>46084</v>
      </c>
      <c r="D150" t="inlineStr">
        <is>
          <t>SKÅNE LÄN</t>
        </is>
      </c>
      <c r="E150" t="inlineStr">
        <is>
          <t>KLIPPAN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33331-2024</t>
        </is>
      </c>
      <c r="B151" s="1" t="n">
        <v>45519</v>
      </c>
      <c r="C151" s="1" t="n">
        <v>46084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52877-2022</t>
        </is>
      </c>
      <c r="B152" s="1" t="n">
        <v>44875.53217592592</v>
      </c>
      <c r="C152" s="1" t="n">
        <v>46084</v>
      </c>
      <c r="D152" t="inlineStr">
        <is>
          <t>SKÅNE LÄN</t>
        </is>
      </c>
      <c r="E152" t="inlineStr">
        <is>
          <t>KLIPPAN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31893-2021</t>
        </is>
      </c>
      <c r="B153" s="1" t="n">
        <v>44370.45880787037</v>
      </c>
      <c r="C153" s="1" t="n">
        <v>46084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11705-2023</t>
        </is>
      </c>
      <c r="B154" s="1" t="n">
        <v>44992</v>
      </c>
      <c r="C154" s="1" t="n">
        <v>46084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4623-2024</t>
        </is>
      </c>
      <c r="B155" s="1" t="n">
        <v>45328</v>
      </c>
      <c r="C155" s="1" t="n">
        <v>46084</v>
      </c>
      <c r="D155" t="inlineStr">
        <is>
          <t>SKÅNE LÄN</t>
        </is>
      </c>
      <c r="E155" t="inlineStr">
        <is>
          <t>KLIPPAN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27538-2021</t>
        </is>
      </c>
      <c r="B156" s="1" t="n">
        <v>44351.67984953704</v>
      </c>
      <c r="C156" s="1" t="n">
        <v>46084</v>
      </c>
      <c r="D156" t="inlineStr">
        <is>
          <t>SKÅNE LÄN</t>
        </is>
      </c>
      <c r="E156" t="inlineStr">
        <is>
          <t>KLIPPAN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64224-2023</t>
        </is>
      </c>
      <c r="B157" s="1" t="n">
        <v>45279</v>
      </c>
      <c r="C157" s="1" t="n">
        <v>46084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20002-2022</t>
        </is>
      </c>
      <c r="B158" s="1" t="n">
        <v>44697.62150462963</v>
      </c>
      <c r="C158" s="1" t="n">
        <v>46084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24813-2025</t>
        </is>
      </c>
      <c r="B159" s="1" t="n">
        <v>45799.44813657407</v>
      </c>
      <c r="C159" s="1" t="n">
        <v>46084</v>
      </c>
      <c r="D159" t="inlineStr">
        <is>
          <t>SKÅNE LÄN</t>
        </is>
      </c>
      <c r="E159" t="inlineStr">
        <is>
          <t>KLIPPAN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47856-2024</t>
        </is>
      </c>
      <c r="B160" s="1" t="n">
        <v>45588.6680324074</v>
      </c>
      <c r="C160" s="1" t="n">
        <v>46084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49686-2023</t>
        </is>
      </c>
      <c r="B161" s="1" t="n">
        <v>45212.36239583333</v>
      </c>
      <c r="C161" s="1" t="n">
        <v>46084</v>
      </c>
      <c r="D161" t="inlineStr">
        <is>
          <t>SKÅNE LÄN</t>
        </is>
      </c>
      <c r="E161" t="inlineStr">
        <is>
          <t>KLIPPAN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68856-2021</t>
        </is>
      </c>
      <c r="B162" s="1" t="n">
        <v>44530</v>
      </c>
      <c r="C162" s="1" t="n">
        <v>46084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46835-2023</t>
        </is>
      </c>
      <c r="B163" s="1" t="n">
        <v>45199</v>
      </c>
      <c r="C163" s="1" t="n">
        <v>46084</v>
      </c>
      <c r="D163" t="inlineStr">
        <is>
          <t>SKÅNE LÄN</t>
        </is>
      </c>
      <c r="E163" t="inlineStr">
        <is>
          <t>KLIPPAN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55696-2025</t>
        </is>
      </c>
      <c r="B164" s="1" t="n">
        <v>45972</v>
      </c>
      <c r="C164" s="1" t="n">
        <v>46084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61060-2025</t>
        </is>
      </c>
      <c r="B165" s="1" t="n">
        <v>46000</v>
      </c>
      <c r="C165" s="1" t="n">
        <v>46084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33462-2025</t>
        </is>
      </c>
      <c r="B166" s="1" t="n">
        <v>45841</v>
      </c>
      <c r="C166" s="1" t="n">
        <v>46084</v>
      </c>
      <c r="D166" t="inlineStr">
        <is>
          <t>SKÅNE LÄN</t>
        </is>
      </c>
      <c r="E166" t="inlineStr">
        <is>
          <t>KLIPPAN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15070-2024</t>
        </is>
      </c>
      <c r="B167" s="1" t="n">
        <v>45399.59040509259</v>
      </c>
      <c r="C167" s="1" t="n">
        <v>46084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46084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30725-2021</t>
        </is>
      </c>
      <c r="B169" s="1" t="n">
        <v>44365.44506944445</v>
      </c>
      <c r="C169" s="1" t="n">
        <v>46084</v>
      </c>
      <c r="D169" t="inlineStr">
        <is>
          <t>SKÅNE LÄN</t>
        </is>
      </c>
      <c r="E169" t="inlineStr">
        <is>
          <t>KLIPPAN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217-2023</t>
        </is>
      </c>
      <c r="B170" s="1" t="n">
        <v>44928</v>
      </c>
      <c r="C170" s="1" t="n">
        <v>46084</v>
      </c>
      <c r="D170" t="inlineStr">
        <is>
          <t>SKÅNE LÄN</t>
        </is>
      </c>
      <c r="E170" t="inlineStr">
        <is>
          <t>KLIPPAN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317-2026</t>
        </is>
      </c>
      <c r="B171" s="1" t="n">
        <v>46027.56958333333</v>
      </c>
      <c r="C171" s="1" t="n">
        <v>46084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57687-2025</t>
        </is>
      </c>
      <c r="B172" s="1" t="n">
        <v>45981.44112268519</v>
      </c>
      <c r="C172" s="1" t="n">
        <v>46084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38724-2023</t>
        </is>
      </c>
      <c r="B173" s="1" t="n">
        <v>45163</v>
      </c>
      <c r="C173" s="1" t="n">
        <v>46084</v>
      </c>
      <c r="D173" t="inlineStr">
        <is>
          <t>SKÅNE LÄN</t>
        </is>
      </c>
      <c r="E173" t="inlineStr">
        <is>
          <t>KLIPPAN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9497-2026</t>
        </is>
      </c>
      <c r="B174" s="1" t="n">
        <v>46071.56422453704</v>
      </c>
      <c r="C174" s="1" t="n">
        <v>46084</v>
      </c>
      <c r="D174" t="inlineStr">
        <is>
          <t>SKÅNE LÄN</t>
        </is>
      </c>
      <c r="E174" t="inlineStr">
        <is>
          <t>KLIPPAN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46253-2024</t>
        </is>
      </c>
      <c r="B175" s="1" t="n">
        <v>45581</v>
      </c>
      <c r="C175" s="1" t="n">
        <v>46084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58642-2021</t>
        </is>
      </c>
      <c r="B176" s="1" t="n">
        <v>44489.36314814815</v>
      </c>
      <c r="C176" s="1" t="n">
        <v>46084</v>
      </c>
      <c r="D176" t="inlineStr">
        <is>
          <t>SKÅNE LÄN</t>
        </is>
      </c>
      <c r="E176" t="inlineStr">
        <is>
          <t>KLIPPAN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39530-2023</t>
        </is>
      </c>
      <c r="B177" s="1" t="n">
        <v>45167.34055555556</v>
      </c>
      <c r="C177" s="1" t="n">
        <v>46084</v>
      </c>
      <c r="D177" t="inlineStr">
        <is>
          <t>SKÅNE LÄN</t>
        </is>
      </c>
      <c r="E177" t="inlineStr">
        <is>
          <t>KLIPPAN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9166-2026</t>
        </is>
      </c>
      <c r="B178" s="1" t="n">
        <v>46070.35927083333</v>
      </c>
      <c r="C178" s="1" t="n">
        <v>46084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22976-2023</t>
        </is>
      </c>
      <c r="B179" s="1" t="n">
        <v>45072</v>
      </c>
      <c r="C179" s="1" t="n">
        <v>46084</v>
      </c>
      <c r="D179" t="inlineStr">
        <is>
          <t>SKÅNE LÄN</t>
        </is>
      </c>
      <c r="E179" t="inlineStr">
        <is>
          <t>KLIPPAN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9488-2026</t>
        </is>
      </c>
      <c r="B180" s="1" t="n">
        <v>46071.55105324074</v>
      </c>
      <c r="C180" s="1" t="n">
        <v>46084</v>
      </c>
      <c r="D180" t="inlineStr">
        <is>
          <t>SKÅNE LÄN</t>
        </is>
      </c>
      <c r="E180" t="inlineStr">
        <is>
          <t>KLIPPAN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23978-2022</t>
        </is>
      </c>
      <c r="B181" s="1" t="n">
        <v>44722</v>
      </c>
      <c r="C181" s="1" t="n">
        <v>46084</v>
      </c>
      <c r="D181" t="inlineStr">
        <is>
          <t>SKÅNE LÄN</t>
        </is>
      </c>
      <c r="E181" t="inlineStr">
        <is>
          <t>KLIPPAN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15812-2024</t>
        </is>
      </c>
      <c r="B182" s="1" t="n">
        <v>45404.6669212963</v>
      </c>
      <c r="C182" s="1" t="n">
        <v>46084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5256-2022</t>
        </is>
      </c>
      <c r="B183" s="1" t="n">
        <v>44593</v>
      </c>
      <c r="C183" s="1" t="n">
        <v>46084</v>
      </c>
      <c r="D183" t="inlineStr">
        <is>
          <t>SKÅNE LÄN</t>
        </is>
      </c>
      <c r="E183" t="inlineStr">
        <is>
          <t>KLIPPAN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38945-2023</t>
        </is>
      </c>
      <c r="B184" s="1" t="n">
        <v>45163.60909722222</v>
      </c>
      <c r="C184" s="1" t="n">
        <v>46084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55587-2021</t>
        </is>
      </c>
      <c r="B185" s="1" t="n">
        <v>44475</v>
      </c>
      <c r="C185" s="1" t="n">
        <v>46084</v>
      </c>
      <c r="D185" t="inlineStr">
        <is>
          <t>SKÅNE LÄN</t>
        </is>
      </c>
      <c r="E185" t="inlineStr">
        <is>
          <t>KLIPPAN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23874-2022</t>
        </is>
      </c>
      <c r="B186" s="1" t="n">
        <v>44722</v>
      </c>
      <c r="C186" s="1" t="n">
        <v>46084</v>
      </c>
      <c r="D186" t="inlineStr">
        <is>
          <t>SKÅNE LÄN</t>
        </is>
      </c>
      <c r="E186" t="inlineStr">
        <is>
          <t>KLIPPAN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9142-2025</t>
        </is>
      </c>
      <c r="B187" s="1" t="n">
        <v>45714.31886574074</v>
      </c>
      <c r="C187" s="1" t="n">
        <v>46084</v>
      </c>
      <c r="D187" t="inlineStr">
        <is>
          <t>SKÅNE LÄN</t>
        </is>
      </c>
      <c r="E187" t="inlineStr">
        <is>
          <t>KLIPPAN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59885-2025</t>
        </is>
      </c>
      <c r="B188" s="1" t="n">
        <v>45993.32192129629</v>
      </c>
      <c r="C188" s="1" t="n">
        <v>46084</v>
      </c>
      <c r="D188" t="inlineStr">
        <is>
          <t>SKÅNE LÄN</t>
        </is>
      </c>
      <c r="E188" t="inlineStr">
        <is>
          <t>KLIPPAN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30292-2021</t>
        </is>
      </c>
      <c r="B189" s="1" t="n">
        <v>44364.33482638889</v>
      </c>
      <c r="C189" s="1" t="n">
        <v>46084</v>
      </c>
      <c r="D189" t="inlineStr">
        <is>
          <t>SKÅNE LÄN</t>
        </is>
      </c>
      <c r="E189" t="inlineStr">
        <is>
          <t>KLIPPAN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53289-2025</t>
        </is>
      </c>
      <c r="B190" s="1" t="n">
        <v>45958</v>
      </c>
      <c r="C190" s="1" t="n">
        <v>46084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53290-2025</t>
        </is>
      </c>
      <c r="B191" s="1" t="n">
        <v>45958</v>
      </c>
      <c r="C191" s="1" t="n">
        <v>46084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28247-2023</t>
        </is>
      </c>
      <c r="B192" s="1" t="n">
        <v>45099</v>
      </c>
      <c r="C192" s="1" t="n">
        <v>46084</v>
      </c>
      <c r="D192" t="inlineStr">
        <is>
          <t>SKÅNE LÄN</t>
        </is>
      </c>
      <c r="E192" t="inlineStr">
        <is>
          <t>KLIPPAN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56759-2023</t>
        </is>
      </c>
      <c r="B193" s="1" t="n">
        <v>45238</v>
      </c>
      <c r="C193" s="1" t="n">
        <v>46084</v>
      </c>
      <c r="D193" t="inlineStr">
        <is>
          <t>SKÅNE LÄN</t>
        </is>
      </c>
      <c r="E193" t="inlineStr">
        <is>
          <t>KLIPPAN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4301-2024</t>
        </is>
      </c>
      <c r="B194" s="1" t="n">
        <v>45324</v>
      </c>
      <c r="C194" s="1" t="n">
        <v>46084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10439-2026</t>
        </is>
      </c>
      <c r="B195" s="1" t="n">
        <v>46077.40722222222</v>
      </c>
      <c r="C195" s="1" t="n">
        <v>46084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42006-2025</t>
        </is>
      </c>
      <c r="B196" s="1" t="n">
        <v>45903</v>
      </c>
      <c r="C196" s="1" t="n">
        <v>46084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22202-2023</t>
        </is>
      </c>
      <c r="B197" s="1" t="n">
        <v>45069</v>
      </c>
      <c r="C197" s="1" t="n">
        <v>46084</v>
      </c>
      <c r="D197" t="inlineStr">
        <is>
          <t>SKÅNE LÄN</t>
        </is>
      </c>
      <c r="E197" t="inlineStr">
        <is>
          <t>KLIPPAN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25069-2023</t>
        </is>
      </c>
      <c r="B198" s="1" t="n">
        <v>45086</v>
      </c>
      <c r="C198" s="1" t="n">
        <v>46084</v>
      </c>
      <c r="D198" t="inlineStr">
        <is>
          <t>SKÅNE LÄN</t>
        </is>
      </c>
      <c r="E198" t="inlineStr">
        <is>
          <t>KLIPPAN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20012-2022</t>
        </is>
      </c>
      <c r="B199" s="1" t="n">
        <v>44697</v>
      </c>
      <c r="C199" s="1" t="n">
        <v>46084</v>
      </c>
      <c r="D199" t="inlineStr">
        <is>
          <t>SKÅNE LÄN</t>
        </is>
      </c>
      <c r="E199" t="inlineStr">
        <is>
          <t>KLIPPAN</t>
        </is>
      </c>
      <c r="G199" t="n">
        <v>17.2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2413-2026</t>
        </is>
      </c>
      <c r="B200" s="1" t="n">
        <v>46036.73725694444</v>
      </c>
      <c r="C200" s="1" t="n">
        <v>46084</v>
      </c>
      <c r="D200" t="inlineStr">
        <is>
          <t>SKÅNE LÄN</t>
        </is>
      </c>
      <c r="E200" t="inlineStr">
        <is>
          <t>KLIPPAN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16418-2025</t>
        </is>
      </c>
      <c r="B201" s="1" t="n">
        <v>45751.46372685185</v>
      </c>
      <c r="C201" s="1" t="n">
        <v>46084</v>
      </c>
      <c r="D201" t="inlineStr">
        <is>
          <t>SKÅNE LÄN</t>
        </is>
      </c>
      <c r="E201" t="inlineStr">
        <is>
          <t>KLIPPAN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30852-2021</t>
        </is>
      </c>
      <c r="B202" s="1" t="n">
        <v>44365</v>
      </c>
      <c r="C202" s="1" t="n">
        <v>46084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63720-2023</t>
        </is>
      </c>
      <c r="B203" s="1" t="n">
        <v>45275</v>
      </c>
      <c r="C203" s="1" t="n">
        <v>46084</v>
      </c>
      <c r="D203" t="inlineStr">
        <is>
          <t>SKÅNE LÄN</t>
        </is>
      </c>
      <c r="E203" t="inlineStr">
        <is>
          <t>KLIPPAN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14278-2024</t>
        </is>
      </c>
      <c r="B204" s="1" t="n">
        <v>45393.60961805555</v>
      </c>
      <c r="C204" s="1" t="n">
        <v>46084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47869-2022</t>
        </is>
      </c>
      <c r="B205" s="1" t="n">
        <v>44855.43141203704</v>
      </c>
      <c r="C205" s="1" t="n">
        <v>46084</v>
      </c>
      <c r="D205" t="inlineStr">
        <is>
          <t>SKÅNE LÄN</t>
        </is>
      </c>
      <c r="E205" t="inlineStr">
        <is>
          <t>KLIPPAN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2806-2026</t>
        </is>
      </c>
      <c r="B206" s="1" t="n">
        <v>46038.41621527778</v>
      </c>
      <c r="C206" s="1" t="n">
        <v>46084</v>
      </c>
      <c r="D206" t="inlineStr">
        <is>
          <t>SKÅNE LÄN</t>
        </is>
      </c>
      <c r="E206" t="inlineStr">
        <is>
          <t>KLIPPAN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4968-2026</t>
        </is>
      </c>
      <c r="B207" s="1" t="n">
        <v>46049</v>
      </c>
      <c r="C207" s="1" t="n">
        <v>46084</v>
      </c>
      <c r="D207" t="inlineStr">
        <is>
          <t>SKÅNE LÄN</t>
        </is>
      </c>
      <c r="E207" t="inlineStr">
        <is>
          <t>KLIPPAN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6615-2024</t>
        </is>
      </c>
      <c r="B208" s="1" t="n">
        <v>45341</v>
      </c>
      <c r="C208" s="1" t="n">
        <v>46084</v>
      </c>
      <c r="D208" t="inlineStr">
        <is>
          <t>SKÅNE LÄN</t>
        </is>
      </c>
      <c r="E208" t="inlineStr">
        <is>
          <t>KLIPPAN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24647-2023</t>
        </is>
      </c>
      <c r="B209" s="1" t="n">
        <v>45084</v>
      </c>
      <c r="C209" s="1" t="n">
        <v>46084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18520-2021</t>
        </is>
      </c>
      <c r="B210" s="1" t="n">
        <v>44305</v>
      </c>
      <c r="C210" s="1" t="n">
        <v>46084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62849-2025</t>
        </is>
      </c>
      <c r="B211" s="1" t="n">
        <v>46008.69979166667</v>
      </c>
      <c r="C211" s="1" t="n">
        <v>46084</v>
      </c>
      <c r="D211" t="inlineStr">
        <is>
          <t>SKÅNE LÄN</t>
        </is>
      </c>
      <c r="E211" t="inlineStr">
        <is>
          <t>KLIPPAN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5645-2026</t>
        </is>
      </c>
      <c r="B212" s="1" t="n">
        <v>46051.42502314815</v>
      </c>
      <c r="C212" s="1" t="n">
        <v>46084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13420-2023</t>
        </is>
      </c>
      <c r="B213" s="1" t="n">
        <v>45005</v>
      </c>
      <c r="C213" s="1" t="n">
        <v>46084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6446-2026</t>
        </is>
      </c>
      <c r="B214" s="1" t="n">
        <v>46055.85770833334</v>
      </c>
      <c r="C214" s="1" t="n">
        <v>46084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18214-2023</t>
        </is>
      </c>
      <c r="B215" s="1" t="n">
        <v>45040</v>
      </c>
      <c r="C215" s="1" t="n">
        <v>46084</v>
      </c>
      <c r="D215" t="inlineStr">
        <is>
          <t>SKÅNE LÄN</t>
        </is>
      </c>
      <c r="E215" t="inlineStr">
        <is>
          <t>KLIPPAN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42281-2024</t>
        </is>
      </c>
      <c r="B216" s="1" t="n">
        <v>45562.6105787037</v>
      </c>
      <c r="C216" s="1" t="n">
        <v>46084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42284-2024</t>
        </is>
      </c>
      <c r="B217" s="1" t="n">
        <v>45562</v>
      </c>
      <c r="C217" s="1" t="n">
        <v>46084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3489-2024</t>
        </is>
      </c>
      <c r="B218" s="1" t="n">
        <v>45320</v>
      </c>
      <c r="C218" s="1" t="n">
        <v>46084</v>
      </c>
      <c r="D218" t="inlineStr">
        <is>
          <t>SKÅNE LÄN</t>
        </is>
      </c>
      <c r="E218" t="inlineStr">
        <is>
          <t>KLIPPAN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30738-2021</t>
        </is>
      </c>
      <c r="B219" s="1" t="n">
        <v>44365.45446759259</v>
      </c>
      <c r="C219" s="1" t="n">
        <v>46084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63499-2025</t>
        </is>
      </c>
      <c r="B220" s="1" t="n">
        <v>46013</v>
      </c>
      <c r="C220" s="1" t="n">
        <v>46084</v>
      </c>
      <c r="D220" t="inlineStr">
        <is>
          <t>SKÅNE LÄN</t>
        </is>
      </c>
      <c r="E220" t="inlineStr">
        <is>
          <t>KLIPPAN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6447-2026</t>
        </is>
      </c>
      <c r="B221" s="1" t="n">
        <v>46055</v>
      </c>
      <c r="C221" s="1" t="n">
        <v>46084</v>
      </c>
      <c r="D221" t="inlineStr">
        <is>
          <t>SKÅNE LÄN</t>
        </is>
      </c>
      <c r="E221" t="inlineStr">
        <is>
          <t>KLIPPAN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60791-2023</t>
        </is>
      </c>
      <c r="B222" s="1" t="n">
        <v>45260.65283564815</v>
      </c>
      <c r="C222" s="1" t="n">
        <v>46084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50781-2025</t>
        </is>
      </c>
      <c r="B223" s="1" t="n">
        <v>45946</v>
      </c>
      <c r="C223" s="1" t="n">
        <v>46084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2262-2025</t>
        </is>
      </c>
      <c r="B224" s="1" t="n">
        <v>45673</v>
      </c>
      <c r="C224" s="1" t="n">
        <v>46084</v>
      </c>
      <c r="D224" t="inlineStr">
        <is>
          <t>SKÅNE LÄN</t>
        </is>
      </c>
      <c r="E224" t="inlineStr">
        <is>
          <t>KLIPPAN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23681-2023</t>
        </is>
      </c>
      <c r="B225" s="1" t="n">
        <v>45077</v>
      </c>
      <c r="C225" s="1" t="n">
        <v>46084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4324-2024</t>
        </is>
      </c>
      <c r="B226" s="1" t="n">
        <v>45324.67409722223</v>
      </c>
      <c r="C226" s="1" t="n">
        <v>46084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28490-2023</t>
        </is>
      </c>
      <c r="B227" s="1" t="n">
        <v>45103.44039351852</v>
      </c>
      <c r="C227" s="1" t="n">
        <v>46084</v>
      </c>
      <c r="D227" t="inlineStr">
        <is>
          <t>SKÅNE LÄN</t>
        </is>
      </c>
      <c r="E227" t="inlineStr">
        <is>
          <t>KLIPPAN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44891-2022</t>
        </is>
      </c>
      <c r="B228" s="1" t="n">
        <v>44841</v>
      </c>
      <c r="C228" s="1" t="n">
        <v>46084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17856-2024</t>
        </is>
      </c>
      <c r="B229" s="1" t="n">
        <v>45419</v>
      </c>
      <c r="C229" s="1" t="n">
        <v>46084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7515-2025</t>
        </is>
      </c>
      <c r="B230" s="1" t="n">
        <v>45702</v>
      </c>
      <c r="C230" s="1" t="n">
        <v>46084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13994-2025</t>
        </is>
      </c>
      <c r="B231" s="1" t="n">
        <v>45739.73532407408</v>
      </c>
      <c r="C231" s="1" t="n">
        <v>46084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39238-2022</t>
        </is>
      </c>
      <c r="B232" s="1" t="n">
        <v>44817</v>
      </c>
      <c r="C232" s="1" t="n">
        <v>46084</v>
      </c>
      <c r="D232" t="inlineStr">
        <is>
          <t>SKÅNE LÄN</t>
        </is>
      </c>
      <c r="E232" t="inlineStr">
        <is>
          <t>KLIPPAN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52882-2024</t>
        </is>
      </c>
      <c r="B233" s="1" t="n">
        <v>45610</v>
      </c>
      <c r="C233" s="1" t="n">
        <v>46084</v>
      </c>
      <c r="D233" t="inlineStr">
        <is>
          <t>SKÅNE LÄN</t>
        </is>
      </c>
      <c r="E233" t="inlineStr">
        <is>
          <t>KLIPPAN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11497-2023</t>
        </is>
      </c>
      <c r="B234" s="1" t="n">
        <v>44991</v>
      </c>
      <c r="C234" s="1" t="n">
        <v>46084</v>
      </c>
      <c r="D234" t="inlineStr">
        <is>
          <t>SKÅNE LÄN</t>
        </is>
      </c>
      <c r="E234" t="inlineStr">
        <is>
          <t>KLIPPAN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46260-2024</t>
        </is>
      </c>
      <c r="B235" s="1" t="n">
        <v>45581</v>
      </c>
      <c r="C235" s="1" t="n">
        <v>46084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5141-2024</t>
        </is>
      </c>
      <c r="B236" s="1" t="n">
        <v>45330</v>
      </c>
      <c r="C236" s="1" t="n">
        <v>46084</v>
      </c>
      <c r="D236" t="inlineStr">
        <is>
          <t>SKÅNE LÄN</t>
        </is>
      </c>
      <c r="E236" t="inlineStr">
        <is>
          <t>KLIPPAN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39244-2022</t>
        </is>
      </c>
      <c r="B237" s="1" t="n">
        <v>44817.60482638889</v>
      </c>
      <c r="C237" s="1" t="n">
        <v>46084</v>
      </c>
      <c r="D237" t="inlineStr">
        <is>
          <t>SKÅNE LÄN</t>
        </is>
      </c>
      <c r="E237" t="inlineStr">
        <is>
          <t>KLIPPAN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20717-2023</t>
        </is>
      </c>
      <c r="B238" s="1" t="n">
        <v>45055</v>
      </c>
      <c r="C238" s="1" t="n">
        <v>46084</v>
      </c>
      <c r="D238" t="inlineStr">
        <is>
          <t>SKÅNE LÄN</t>
        </is>
      </c>
      <c r="E238" t="inlineStr">
        <is>
          <t>KLIPPAN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37068-2023</t>
        </is>
      </c>
      <c r="B239" s="1" t="n">
        <v>45155</v>
      </c>
      <c r="C239" s="1" t="n">
        <v>46084</v>
      </c>
      <c r="D239" t="inlineStr">
        <is>
          <t>SKÅNE LÄN</t>
        </is>
      </c>
      <c r="E239" t="inlineStr">
        <is>
          <t>KLIPPAN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40762-2021</t>
        </is>
      </c>
      <c r="B240" s="1" t="n">
        <v>44420</v>
      </c>
      <c r="C240" s="1" t="n">
        <v>46084</v>
      </c>
      <c r="D240" t="inlineStr">
        <is>
          <t>SKÅNE LÄN</t>
        </is>
      </c>
      <c r="E240" t="inlineStr">
        <is>
          <t>KLIPPAN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55588-2021</t>
        </is>
      </c>
      <c r="B241" s="1" t="n">
        <v>44475</v>
      </c>
      <c r="C241" s="1" t="n">
        <v>46084</v>
      </c>
      <c r="D241" t="inlineStr">
        <is>
          <t>SKÅNE LÄN</t>
        </is>
      </c>
      <c r="E241" t="inlineStr">
        <is>
          <t>KLIPPAN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52286-2023</t>
        </is>
      </c>
      <c r="B242" s="1" t="n">
        <v>45224.58796296296</v>
      </c>
      <c r="C242" s="1" t="n">
        <v>46084</v>
      </c>
      <c r="D242" t="inlineStr">
        <is>
          <t>SKÅNE LÄN</t>
        </is>
      </c>
      <c r="E242" t="inlineStr">
        <is>
          <t>KLIPPAN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46619-2024</t>
        </is>
      </c>
      <c r="B243" s="1" t="n">
        <v>45583.32314814815</v>
      </c>
      <c r="C243" s="1" t="n">
        <v>46084</v>
      </c>
      <c r="D243" t="inlineStr">
        <is>
          <t>SKÅNE LÄN</t>
        </is>
      </c>
      <c r="E243" t="inlineStr">
        <is>
          <t>KLIPPAN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11857-2025</t>
        </is>
      </c>
      <c r="B244" s="1" t="n">
        <v>45728.39798611111</v>
      </c>
      <c r="C244" s="1" t="n">
        <v>46084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24333-2022</t>
        </is>
      </c>
      <c r="B245" s="1" t="n">
        <v>44726.32643518518</v>
      </c>
      <c r="C245" s="1" t="n">
        <v>46084</v>
      </c>
      <c r="D245" t="inlineStr">
        <is>
          <t>SKÅNE LÄN</t>
        </is>
      </c>
      <c r="E245" t="inlineStr">
        <is>
          <t>KLIPPAN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56089-2021</t>
        </is>
      </c>
      <c r="B246" s="1" t="n">
        <v>44477</v>
      </c>
      <c r="C246" s="1" t="n">
        <v>46084</v>
      </c>
      <c r="D246" t="inlineStr">
        <is>
          <t>SKÅNE LÄN</t>
        </is>
      </c>
      <c r="E246" t="inlineStr">
        <is>
          <t>KLIPPAN</t>
        </is>
      </c>
      <c r="G246" t="n">
        <v>20.9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54348-2022</t>
        </is>
      </c>
      <c r="B247" s="1" t="n">
        <v>44882</v>
      </c>
      <c r="C247" s="1" t="n">
        <v>46084</v>
      </c>
      <c r="D247" t="inlineStr">
        <is>
          <t>SKÅNE LÄN</t>
        </is>
      </c>
      <c r="E247" t="inlineStr">
        <is>
          <t>KLIPPAN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38156-2022</t>
        </is>
      </c>
      <c r="B248" s="1" t="n">
        <v>44812.37135416667</v>
      </c>
      <c r="C248" s="1" t="n">
        <v>46084</v>
      </c>
      <c r="D248" t="inlineStr">
        <is>
          <t>SKÅNE LÄN</t>
        </is>
      </c>
      <c r="E248" t="inlineStr">
        <is>
          <t>KLIPPAN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18516-2021</t>
        </is>
      </c>
      <c r="B249" s="1" t="n">
        <v>44305</v>
      </c>
      <c r="C249" s="1" t="n">
        <v>46084</v>
      </c>
      <c r="D249" t="inlineStr">
        <is>
          <t>SKÅNE LÄN</t>
        </is>
      </c>
      <c r="E249" t="inlineStr">
        <is>
          <t>KLIPPAN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40710-2023</t>
        </is>
      </c>
      <c r="B250" s="1" t="n">
        <v>45170.63194444445</v>
      </c>
      <c r="C250" s="1" t="n">
        <v>46084</v>
      </c>
      <c r="D250" t="inlineStr">
        <is>
          <t>SKÅNE LÄN</t>
        </is>
      </c>
      <c r="E250" t="inlineStr">
        <is>
          <t>KLIPPAN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55833-2023</t>
        </is>
      </c>
      <c r="B251" s="1" t="n">
        <v>45239</v>
      </c>
      <c r="C251" s="1" t="n">
        <v>46084</v>
      </c>
      <c r="D251" t="inlineStr">
        <is>
          <t>SKÅNE LÄN</t>
        </is>
      </c>
      <c r="E251" t="inlineStr">
        <is>
          <t>KLIPPAN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20128-2023</t>
        </is>
      </c>
      <c r="B252" s="1" t="n">
        <v>45055</v>
      </c>
      <c r="C252" s="1" t="n">
        <v>46084</v>
      </c>
      <c r="D252" t="inlineStr">
        <is>
          <t>SKÅNE LÄN</t>
        </is>
      </c>
      <c r="E252" t="inlineStr">
        <is>
          <t>KLIPPAN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2252-2025</t>
        </is>
      </c>
      <c r="B253" s="1" t="n">
        <v>45673</v>
      </c>
      <c r="C253" s="1" t="n">
        <v>46084</v>
      </c>
      <c r="D253" t="inlineStr">
        <is>
          <t>SKÅNE LÄN</t>
        </is>
      </c>
      <c r="E253" t="inlineStr">
        <is>
          <t>KLIPPAN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2083-2025</t>
        </is>
      </c>
      <c r="B254" s="1" t="n">
        <v>45672.58853009259</v>
      </c>
      <c r="C254" s="1" t="n">
        <v>46084</v>
      </c>
      <c r="D254" t="inlineStr">
        <is>
          <t>SKÅNE LÄN</t>
        </is>
      </c>
      <c r="E254" t="inlineStr">
        <is>
          <t>KLIPPAN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61682-2023</t>
        </is>
      </c>
      <c r="B255" s="1" t="n">
        <v>45264</v>
      </c>
      <c r="C255" s="1" t="n">
        <v>46084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11676-2023</t>
        </is>
      </c>
      <c r="B256" s="1" t="n">
        <v>44992</v>
      </c>
      <c r="C256" s="1" t="n">
        <v>46084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51844-2023</t>
        </is>
      </c>
      <c r="B257" s="1" t="n">
        <v>45223</v>
      </c>
      <c r="C257" s="1" t="n">
        <v>46084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28847-2023</t>
        </is>
      </c>
      <c r="B258" s="1" t="n">
        <v>45104</v>
      </c>
      <c r="C258" s="1" t="n">
        <v>46084</v>
      </c>
      <c r="D258" t="inlineStr">
        <is>
          <t>SKÅNE LÄN</t>
        </is>
      </c>
      <c r="E258" t="inlineStr">
        <is>
          <t>KLIPPAN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15442-2022</t>
        </is>
      </c>
      <c r="B259" s="1" t="n">
        <v>44659.85333333333</v>
      </c>
      <c r="C259" s="1" t="n">
        <v>46084</v>
      </c>
      <c r="D259" t="inlineStr">
        <is>
          <t>SKÅNE LÄN</t>
        </is>
      </c>
      <c r="E259" t="inlineStr">
        <is>
          <t>KLIPPAN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2755-2023</t>
        </is>
      </c>
      <c r="B260" s="1" t="n">
        <v>44944</v>
      </c>
      <c r="C260" s="1" t="n">
        <v>46084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49370-2023</t>
        </is>
      </c>
      <c r="B261" s="1" t="n">
        <v>45211</v>
      </c>
      <c r="C261" s="1" t="n">
        <v>46084</v>
      </c>
      <c r="D261" t="inlineStr">
        <is>
          <t>SKÅNE LÄN</t>
        </is>
      </c>
      <c r="E261" t="inlineStr">
        <is>
          <t>KLIPPAN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28709-2023</t>
        </is>
      </c>
      <c r="B262" s="1" t="n">
        <v>45103</v>
      </c>
      <c r="C262" s="1" t="n">
        <v>46084</v>
      </c>
      <c r="D262" t="inlineStr">
        <is>
          <t>SKÅNE LÄN</t>
        </is>
      </c>
      <c r="E262" t="inlineStr">
        <is>
          <t>KLIPPAN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46728-2023</t>
        </is>
      </c>
      <c r="B263" s="1" t="n">
        <v>45198</v>
      </c>
      <c r="C263" s="1" t="n">
        <v>46084</v>
      </c>
      <c r="D263" t="inlineStr">
        <is>
          <t>SKÅNE LÄN</t>
        </is>
      </c>
      <c r="E263" t="inlineStr">
        <is>
          <t>KLIPPAN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15065-2024</t>
        </is>
      </c>
      <c r="B264" s="1" t="n">
        <v>45399.57625</v>
      </c>
      <c r="C264" s="1" t="n">
        <v>46084</v>
      </c>
      <c r="D264" t="inlineStr">
        <is>
          <t>SKÅNE LÄN</t>
        </is>
      </c>
      <c r="E264" t="inlineStr">
        <is>
          <t>KLIPPAN</t>
        </is>
      </c>
      <c r="F264" t="inlineStr">
        <is>
          <t>Övriga Aktiebolag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3498-2024</t>
        </is>
      </c>
      <c r="B265" s="1" t="n">
        <v>45320.47233796296</v>
      </c>
      <c r="C265" s="1" t="n">
        <v>46084</v>
      </c>
      <c r="D265" t="inlineStr">
        <is>
          <t>SKÅNE LÄN</t>
        </is>
      </c>
      <c r="E265" t="inlineStr">
        <is>
          <t>KLIPPAN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41294-2022</t>
        </is>
      </c>
      <c r="B266" s="1" t="n">
        <v>44825</v>
      </c>
      <c r="C266" s="1" t="n">
        <v>46084</v>
      </c>
      <c r="D266" t="inlineStr">
        <is>
          <t>SKÅNE LÄN</t>
        </is>
      </c>
      <c r="E266" t="inlineStr">
        <is>
          <t>KLIPPAN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39097-2024</t>
        </is>
      </c>
      <c r="B267" s="1" t="n">
        <v>45548.56422453704</v>
      </c>
      <c r="C267" s="1" t="n">
        <v>46084</v>
      </c>
      <c r="D267" t="inlineStr">
        <is>
          <t>SKÅNE LÄN</t>
        </is>
      </c>
      <c r="E267" t="inlineStr">
        <is>
          <t>KLIPPAN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8712-2023</t>
        </is>
      </c>
      <c r="B268" s="1" t="n">
        <v>44978.3975462963</v>
      </c>
      <c r="C268" s="1" t="n">
        <v>46084</v>
      </c>
      <c r="D268" t="inlineStr">
        <is>
          <t>SKÅNE LÄN</t>
        </is>
      </c>
      <c r="E268" t="inlineStr">
        <is>
          <t>KLIPPAN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49073-2024</t>
        </is>
      </c>
      <c r="B269" s="1" t="n">
        <v>45594.61548611111</v>
      </c>
      <c r="C269" s="1" t="n">
        <v>46084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7661-2025</t>
        </is>
      </c>
      <c r="B270" s="1" t="n">
        <v>45706</v>
      </c>
      <c r="C270" s="1" t="n">
        <v>46084</v>
      </c>
      <c r="D270" t="inlineStr">
        <is>
          <t>SKÅNE LÄN</t>
        </is>
      </c>
      <c r="E270" t="inlineStr">
        <is>
          <t>KLIPPAN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3183-2023</t>
        </is>
      </c>
      <c r="B271" s="1" t="n">
        <v>44944</v>
      </c>
      <c r="C271" s="1" t="n">
        <v>46084</v>
      </c>
      <c r="D271" t="inlineStr">
        <is>
          <t>SKÅNE LÄN</t>
        </is>
      </c>
      <c r="E271" t="inlineStr">
        <is>
          <t>KLIPPAN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48965-2023</t>
        </is>
      </c>
      <c r="B272" s="1" t="n">
        <v>45209</v>
      </c>
      <c r="C272" s="1" t="n">
        <v>46084</v>
      </c>
      <c r="D272" t="inlineStr">
        <is>
          <t>SKÅNE LÄN</t>
        </is>
      </c>
      <c r="E272" t="inlineStr">
        <is>
          <t>KLIPPAN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9270-2022</t>
        </is>
      </c>
      <c r="B273" s="1" t="n">
        <v>44616</v>
      </c>
      <c r="C273" s="1" t="n">
        <v>46084</v>
      </c>
      <c r="D273" t="inlineStr">
        <is>
          <t>SKÅNE LÄN</t>
        </is>
      </c>
      <c r="E273" t="inlineStr">
        <is>
          <t>KLIPPAN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36842-2024</t>
        </is>
      </c>
      <c r="B274" s="1" t="n">
        <v>45538</v>
      </c>
      <c r="C274" s="1" t="n">
        <v>46084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5523-2022</t>
        </is>
      </c>
      <c r="B275" s="1" t="n">
        <v>44593</v>
      </c>
      <c r="C275" s="1" t="n">
        <v>46084</v>
      </c>
      <c r="D275" t="inlineStr">
        <is>
          <t>SKÅNE LÄN</t>
        </is>
      </c>
      <c r="E275" t="inlineStr">
        <is>
          <t>KLIPPAN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17060-2021</t>
        </is>
      </c>
      <c r="B276" s="1" t="n">
        <v>44296.63025462963</v>
      </c>
      <c r="C276" s="1" t="n">
        <v>46084</v>
      </c>
      <c r="D276" t="inlineStr">
        <is>
          <t>SKÅNE LÄN</t>
        </is>
      </c>
      <c r="E276" t="inlineStr">
        <is>
          <t>KLIPPAN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2026-03-03T11:12:36Z</dcterms:created>
  <dcterms:modified xmlns:dcterms="http://purl.org/dc/terms/" xmlns:xsi="http://www.w3.org/2001/XMLSchema-instance" xsi:type="dcterms:W3CDTF">2026-03-03T11:12:36Z</dcterms:modified>
</cp:coreProperties>
</file>