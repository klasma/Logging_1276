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46249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46249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46249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46249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46249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46249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46249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46249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46249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46249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46249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46249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46249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46249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46249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31525-2026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46223</v>
      </c>
      <c r="E17" s="1" t="n">
        <v>46249</v>
      </c>
      <c r="F17" t="inlineStr">
        <is>
          <t>SKÅNE LÄN</t>
        </is>
      </c>
      <c r="G17" t="inlineStr">
        <is>
          <t>KLIPPAN</t>
        </is>
      </c>
      <c r="I17" t="n">
        <v>0.4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2</v>
      </c>
      <c r="V17" s="2" t="inlineStr">
        <is>
          <t>Entita
Kruskantarell
Stjärtmes</t>
        </is>
      </c>
      <c r="W17">
        <f>HYPERLINK("https://klasma.github.io/Logging_1276/artfynd/A 31525-2026 artfynd.xlsx", "A 31525-2026")</f>
        <v/>
      </c>
      <c r="X17">
        <f>HYPERLINK("https://klasma.github.io/Logging_1276/kartor/A 31525-2026 karta.png", "A 31525-2026")</f>
        <v/>
      </c>
      <c r="Y17">
        <f>HYPERLINK("https://klasma.github.io/Logging_1276/kartor_geotiff/A 31525-2026 georefererad karta.tif", "A 31525-2026")</f>
        <v/>
      </c>
      <c r="AA17">
        <f>HYPERLINK("https://klasma.github.io/Logging_1276/klagomål/A 31525-2026 FSC-klagomål.docx", "A 31525-2026")</f>
        <v/>
      </c>
      <c r="AB17">
        <f>HYPERLINK("https://klasma.github.io/Logging_1276/klagomålsmail/A 31525-2026 FSC-klagomål mail.docx", "A 31525-2026")</f>
        <v/>
      </c>
      <c r="AC17">
        <f>HYPERLINK("https://klasma.github.io/Logging_1276/tillsyn/A 31525-2026 tillsynsbegäran.docx", "A 31525-2026")</f>
        <v/>
      </c>
      <c r="AD17">
        <f>HYPERLINK("https://klasma.github.io/Logging_1276/tillsynsmail/A 31525-2026 tillsynsbegäran mail.docx", "A 31525-2026")</f>
        <v/>
      </c>
      <c r="AE17">
        <f>HYPERLINK("https://klasma.github.io/Logging_1276/fåglar/A 31525-2026 prioriterade fågelarter.docx", "A 31525-2026")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46249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46249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46249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46249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46249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46249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5797-2024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46249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Entita
Gröngöling</t>
        </is>
      </c>
      <c r="W24">
        <f>HYPERLINK("https://klasma.github.io/Logging_1276/artfynd/A 5797-2024 artfynd.xlsx", "A 5797-2024")</f>
        <v/>
      </c>
      <c r="X24">
        <f>HYPERLINK("https://klasma.github.io/Logging_1276/kartor/A 5797-2024 karta.png", "A 5797-2024")</f>
        <v/>
      </c>
      <c r="Y24">
        <f>HYPERLINK("https://klasma.github.io/Logging_1276/kartor_geotiff/A 5797-2024 georefererad karta.tif", "A 5797-2024")</f>
        <v/>
      </c>
      <c r="AA24">
        <f>HYPERLINK("https://klasma.github.io/Logging_1276/klagomål/A 5797-2024 FSC-klagomål.docx", "A 5797-2024")</f>
        <v/>
      </c>
      <c r="AB24">
        <f>HYPERLINK("https://klasma.github.io/Logging_1276/klagomålsmail/A 5797-2024 FSC-klagomål mail.docx", "A 5797-2024")</f>
        <v/>
      </c>
      <c r="AC24">
        <f>HYPERLINK("https://klasma.github.io/Logging_1276/tillsyn/A 5797-2024 tillsynsbegäran.docx", "A 5797-2024")</f>
        <v/>
      </c>
      <c r="AD24">
        <f>HYPERLINK("https://klasma.github.io/Logging_1276/tillsynsmail/A 5797-2024 tillsynsbegäran mail.docx", "A 5797-2024")</f>
        <v/>
      </c>
      <c r="AE24">
        <f>HYPERLINK("https://klasma.github.io/Logging_1276/fåglar/A 5797-2024 prioriterade fågelarter.docx", "A 5797-2024")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46249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46249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46249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46249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46249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46249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46249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10000-2025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45719</v>
      </c>
      <c r="E32" s="1" t="n">
        <v>46249</v>
      </c>
      <c r="F32" t="inlineStr">
        <is>
          <t>SKÅNE LÄN</t>
        </is>
      </c>
      <c r="G32" t="inlineStr">
        <is>
          <t>KLIPPAN</t>
        </is>
      </c>
      <c r="I32" t="n">
        <v>2.6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Dvärghäxört</t>
        </is>
      </c>
      <c r="W32">
        <f>HYPERLINK("https://klasma.github.io/Logging_1276/artfynd/A 10000-2025 artfynd.xlsx", "A 10000-2025")</f>
        <v/>
      </c>
      <c r="X32">
        <f>HYPERLINK("https://klasma.github.io/Logging_1276/kartor/A 10000-2025 karta.png", "A 10000-2025")</f>
        <v/>
      </c>
      <c r="Y32">
        <f>HYPERLINK("https://klasma.github.io/Logging_1276/kartor_geotiff/A 10000-2025 georefererad karta.tif", "A 10000-2025")</f>
        <v/>
      </c>
      <c r="AA32">
        <f>HYPERLINK("https://klasma.github.io/Logging_1276/klagomål/A 10000-2025 FSC-klagomål.docx", "A 10000-2025")</f>
        <v/>
      </c>
      <c r="AB32">
        <f>HYPERLINK("https://klasma.github.io/Logging_1276/klagomålsmail/A 10000-2025 FSC-klagomål mail.docx", "A 10000-2025")</f>
        <v/>
      </c>
      <c r="AC32">
        <f>HYPERLINK("https://klasma.github.io/Logging_1276/tillsyn/A 10000-2025 tillsynsbegäran.docx", "A 10000-2025")</f>
        <v/>
      </c>
      <c r="AD32">
        <f>HYPERLINK("https://klasma.github.io/Logging_1276/tillsynsmail/A 10000-2025 tillsynsbegäran mail.docx", "A 10000-2025")</f>
        <v/>
      </c>
    </row>
    <row r="33" ht="15" customHeight="1">
      <c r="A33" t="inlineStr">
        <is>
          <t>A 15810-2024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45404</v>
      </c>
      <c r="E33" s="1" t="n">
        <v>46249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HYPERLINK("https://klasma.github.io/Logging_1276/artfynd/A 15810-2024 artfynd.xlsx", "A 15810-2024")</f>
        <v/>
      </c>
      <c r="X33">
        <f>HYPERLINK("https://klasma.github.io/Logging_1276/kartor/A 15810-2024 karta.png", "A 15810-2024")</f>
        <v/>
      </c>
      <c r="Y33">
        <f>HYPERLINK("https://klasma.github.io/Logging_1276/kartor_geotiff/A 15810-2024 georefererad karta.tif", "A 15810-2024")</f>
        <v/>
      </c>
      <c r="AA33">
        <f>HYPERLINK("https://klasma.github.io/Logging_1276/klagomål/A 15810-2024 FSC-klagomål.docx", "A 15810-2024")</f>
        <v/>
      </c>
      <c r="AB33">
        <f>HYPERLINK("https://klasma.github.io/Logging_1276/klagomålsmail/A 15810-2024 FSC-klagomål mail.docx", "A 15810-2024")</f>
        <v/>
      </c>
      <c r="AC33">
        <f>HYPERLINK("https://klasma.github.io/Logging_1276/tillsyn/A 15810-2024 tillsynsbegäran.docx", "A 15810-2024")</f>
        <v/>
      </c>
      <c r="AD33">
        <f>HYPERLINK("https://klasma.github.io/Logging_1276/tillsynsmail/A 15810-2024 tillsynsbegäran mail.docx", "A 15810-2024")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46249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61049-2025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46249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Mindre hackspett</t>
        </is>
      </c>
      <c r="W35">
        <f>HYPERLINK("https://klasma.github.io/Logging_1276/artfynd/A 61049-2025 artfynd.xlsx", "A 61049-2025")</f>
        <v/>
      </c>
      <c r="X35">
        <f>HYPERLINK("https://klasma.github.io/Logging_1276/kartor/A 61049-2025 karta.png", "A 61049-2025")</f>
        <v/>
      </c>
      <c r="Y35">
        <f>HYPERLINK("https://klasma.github.io/Logging_1276/kartor_geotiff/A 61049-2025 georefererad karta.tif", "A 61049-2025")</f>
        <v/>
      </c>
      <c r="AA35">
        <f>HYPERLINK("https://klasma.github.io/Logging_1276/klagomål/A 61049-2025 FSC-klagomål.docx", "A 61049-2025")</f>
        <v/>
      </c>
      <c r="AB35">
        <f>HYPERLINK("https://klasma.github.io/Logging_1276/klagomålsmail/A 61049-2025 FSC-klagomål mail.docx", "A 61049-2025")</f>
        <v/>
      </c>
      <c r="AC35">
        <f>HYPERLINK("https://klasma.github.io/Logging_1276/tillsyn/A 61049-2025 tillsynsbegäran.docx", "A 61049-2025")</f>
        <v/>
      </c>
      <c r="AD35">
        <f>HYPERLINK("https://klasma.github.io/Logging_1276/tillsynsmail/A 61049-2025 tillsynsbegäran mail.docx", "A 61049-2025")</f>
        <v/>
      </c>
      <c r="AE35">
        <f>HYPERLINK("https://klasma.github.io/Logging_1276/fåglar/A 61049-2025 prioriterade fågelarter.docx", "A 61049-2025")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46249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46249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46249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46249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51276-2024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45603</v>
      </c>
      <c r="E40" s="1" t="n">
        <v>46249</v>
      </c>
      <c r="F40" t="inlineStr">
        <is>
          <t>SKÅNE LÄN</t>
        </is>
      </c>
      <c r="G40" t="inlineStr">
        <is>
          <t>KLIPPAN</t>
        </is>
      </c>
      <c r="I40" t="n">
        <v>2.4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Rutskinn</t>
        </is>
      </c>
      <c r="W40">
        <f>HYPERLINK("https://klasma.github.io/Logging_1276/artfynd/A 51276-2024 artfynd.xlsx", "A 51276-2024")</f>
        <v/>
      </c>
      <c r="X40">
        <f>HYPERLINK("https://klasma.github.io/Logging_1276/kartor/A 51276-2024 karta.png", "A 51276-2024")</f>
        <v/>
      </c>
      <c r="Y40">
        <f>HYPERLINK("https://klasma.github.io/Logging_1276/kartor_geotiff/A 51276-2024 georefererad karta.tif", "A 51276-2024")</f>
        <v/>
      </c>
      <c r="AA40">
        <f>HYPERLINK("https://klasma.github.io/Logging_1276/klagomål/A 51276-2024 FSC-klagomål.docx", "A 51276-2024")</f>
        <v/>
      </c>
      <c r="AB40">
        <f>HYPERLINK("https://klasma.github.io/Logging_1276/klagomålsmail/A 51276-2024 FSC-klagomål mail.docx", "A 51276-2024")</f>
        <v/>
      </c>
      <c r="AC40">
        <f>HYPERLINK("https://klasma.github.io/Logging_1276/tillsyn/A 51276-2024 tillsynsbegäran.docx", "A 51276-2024")</f>
        <v/>
      </c>
      <c r="AD40">
        <f>HYPERLINK("https://klasma.github.io/Logging_1276/tillsynsmail/A 51276-2024 tillsynsbegäran mail.docx", "A 51276-2024")</f>
        <v/>
      </c>
    </row>
    <row r="41" ht="15" customHeight="1">
      <c r="A41" t="inlineStr">
        <is>
          <t>A 31279-2026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46218</v>
      </c>
      <c r="E41" s="1" t="n">
        <v>46249</v>
      </c>
      <c r="F41" t="inlineStr">
        <is>
          <t>SKÅNE LÄN</t>
        </is>
      </c>
      <c r="G41" t="inlineStr">
        <is>
          <t>KLIPPAN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31279-2026 artfynd.xlsx", "A 31279-2026")</f>
        <v/>
      </c>
      <c r="X41">
        <f>HYPERLINK("https://klasma.github.io/Logging_1276/kartor/A 31279-2026 karta.png", "A 31279-2026")</f>
        <v/>
      </c>
      <c r="Y41">
        <f>HYPERLINK("https://klasma.github.io/Logging_1276/kartor_geotiff/A 31279-2026 georefererad karta.tif", "A 31279-2026")</f>
        <v/>
      </c>
      <c r="AA41">
        <f>HYPERLINK("https://klasma.github.io/Logging_1276/klagomål/A 31279-2026 FSC-klagomål.docx", "A 31279-2026")</f>
        <v/>
      </c>
      <c r="AB41">
        <f>HYPERLINK("https://klasma.github.io/Logging_1276/klagomålsmail/A 31279-2026 FSC-klagomål mail.docx", "A 31279-2026")</f>
        <v/>
      </c>
      <c r="AC41">
        <f>HYPERLINK("https://klasma.github.io/Logging_1276/tillsyn/A 31279-2026 tillsynsbegäran.docx", "A 31279-2026")</f>
        <v/>
      </c>
      <c r="AD41">
        <f>HYPERLINK("https://klasma.github.io/Logging_1276/tillsynsmail/A 31279-2026 tillsynsbegäran mail.docx", "A 31279-2026")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46249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46249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46249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46249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46249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46249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46249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46249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46249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46249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46249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46249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46249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46249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46249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46249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46249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46249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46249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46249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46249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46249</v>
      </c>
      <c r="F63" t="inlineStr">
        <is>
          <t>SKÅNE LÄN</t>
        </is>
      </c>
      <c r="G63" t="inlineStr">
        <is>
          <t>KLIPPAN</t>
        </is>
      </c>
      <c r="I63" t="n">
        <v>7.8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46249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46249</v>
      </c>
      <c r="F65" t="inlineStr">
        <is>
          <t>SKÅNE LÄN</t>
        </is>
      </c>
      <c r="G65" t="inlineStr">
        <is>
          <t>KLIPPAN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38724-2023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45163</v>
      </c>
      <c r="E66" s="1" t="n">
        <v>46249</v>
      </c>
      <c r="F66" t="inlineStr">
        <is>
          <t>SKÅNE LÄN</t>
        </is>
      </c>
      <c r="G66" t="inlineStr">
        <is>
          <t>KLIPPAN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45324</v>
      </c>
      <c r="E67" s="1" t="n">
        <v>46249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46249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44726</v>
      </c>
      <c r="E69" s="1" t="n">
        <v>46249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20690-2022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44700</v>
      </c>
      <c r="E70" s="1" t="n">
        <v>46249</v>
      </c>
      <c r="F70" t="inlineStr">
        <is>
          <t>SKÅNE LÄN</t>
        </is>
      </c>
      <c r="G70" t="inlineStr">
        <is>
          <t>KLIPPAN</t>
        </is>
      </c>
      <c r="H70" t="inlineStr">
        <is>
          <t>Kommuner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46249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40710-2023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45170</v>
      </c>
      <c r="E72" s="1" t="n">
        <v>46249</v>
      </c>
      <c r="F72" t="inlineStr">
        <is>
          <t>SKÅNE LÄN</t>
        </is>
      </c>
      <c r="G72" t="inlineStr">
        <is>
          <t>KLIPPAN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46249</v>
      </c>
      <c r="F73" t="inlineStr">
        <is>
          <t>SKÅNE LÄN</t>
        </is>
      </c>
      <c r="G73" t="inlineStr">
        <is>
          <t>KLIPPAN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44679</v>
      </c>
      <c r="E74" s="1" t="n">
        <v>46249</v>
      </c>
      <c r="F74" t="inlineStr">
        <is>
          <t>SKÅNE LÄN</t>
        </is>
      </c>
      <c r="G74" t="inlineStr">
        <is>
          <t>KLIPPAN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46249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46249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46249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46249</v>
      </c>
      <c r="F78" t="inlineStr">
        <is>
          <t>SKÅNE LÄN</t>
        </is>
      </c>
      <c r="G78" t="inlineStr">
        <is>
          <t>KLIPPAN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46249</v>
      </c>
      <c r="F79" t="inlineStr">
        <is>
          <t>SKÅNE LÄN</t>
        </is>
      </c>
      <c r="G79" t="inlineStr">
        <is>
          <t>KLIPPAN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46249</v>
      </c>
      <c r="F80" t="inlineStr">
        <is>
          <t>SKÅNE LÄN</t>
        </is>
      </c>
      <c r="G80" t="inlineStr">
        <is>
          <t>KLIPPAN</t>
        </is>
      </c>
      <c r="I80" t="n">
        <v>20.9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45075</v>
      </c>
      <c r="E81" s="1" t="n">
        <v>46249</v>
      </c>
      <c r="F81" t="inlineStr">
        <is>
          <t>SKÅNE LÄN</t>
        </is>
      </c>
      <c r="G81" t="inlineStr">
        <is>
          <t>KLIPPAN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45155</v>
      </c>
      <c r="E82" s="1" t="n">
        <v>46249</v>
      </c>
      <c r="F82" t="inlineStr">
        <is>
          <t>SKÅNE LÄN</t>
        </is>
      </c>
      <c r="G82" t="inlineStr">
        <is>
          <t>KLIPPAN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45167</v>
      </c>
      <c r="E83" s="1" t="n">
        <v>46249</v>
      </c>
      <c r="F83" t="inlineStr">
        <is>
          <t>SKÅNE LÄN</t>
        </is>
      </c>
      <c r="G83" t="inlineStr">
        <is>
          <t>KLIPPAN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46249</v>
      </c>
      <c r="F84" t="inlineStr">
        <is>
          <t>SKÅNE LÄN</t>
        </is>
      </c>
      <c r="G84" t="inlineStr">
        <is>
          <t>KLIPPAN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46249</v>
      </c>
      <c r="F85" t="inlineStr">
        <is>
          <t>SKÅNE LÄN</t>
        </is>
      </c>
      <c r="G85" t="inlineStr">
        <is>
          <t>KLIPPAN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46249</v>
      </c>
      <c r="F86" t="inlineStr">
        <is>
          <t>SKÅNE LÄN</t>
        </is>
      </c>
      <c r="G86" t="inlineStr">
        <is>
          <t>KLIPPAN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9142-2025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46249</v>
      </c>
      <c r="F87" t="inlineStr">
        <is>
          <t>SKÅNE LÄN</t>
        </is>
      </c>
      <c r="G87" t="inlineStr">
        <is>
          <t>KLIPPAN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45341</v>
      </c>
      <c r="E88" s="1" t="n">
        <v>46249</v>
      </c>
      <c r="F88" t="inlineStr">
        <is>
          <t>SKÅNE LÄN</t>
        </is>
      </c>
      <c r="G88" t="inlineStr">
        <is>
          <t>KLIPPAN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46249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54348-2022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46249</v>
      </c>
      <c r="F90" t="inlineStr">
        <is>
          <t>SKÅNE LÄN</t>
        </is>
      </c>
      <c r="G90" t="inlineStr">
        <is>
          <t>KLIPPAN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45641-2022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44845</v>
      </c>
      <c r="E91" s="1" t="n">
        <v>46249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22976-2023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45072</v>
      </c>
      <c r="E92" s="1" t="n">
        <v>46249</v>
      </c>
      <c r="F92" t="inlineStr">
        <is>
          <t>SKÅNE LÄN</t>
        </is>
      </c>
      <c r="G92" t="inlineStr">
        <is>
          <t>KLIPPAN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43855-2022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44838</v>
      </c>
      <c r="E93" s="1" t="n">
        <v>46249</v>
      </c>
      <c r="F93" t="inlineStr">
        <is>
          <t>SKÅNE LÄN</t>
        </is>
      </c>
      <c r="G93" t="inlineStr">
        <is>
          <t>KLIPPAN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46249</v>
      </c>
      <c r="F94" t="inlineStr">
        <is>
          <t>SKÅNE LÄN</t>
        </is>
      </c>
      <c r="G94" t="inlineStr">
        <is>
          <t>KLIPPAN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55586-2021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44475</v>
      </c>
      <c r="E95" s="1" t="n">
        <v>46249</v>
      </c>
      <c r="F95" t="inlineStr">
        <is>
          <t>SKÅNE LÄN</t>
        </is>
      </c>
      <c r="G95" t="inlineStr">
        <is>
          <t>KLIPPAN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46249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46249</v>
      </c>
      <c r="F97" t="inlineStr">
        <is>
          <t>SKÅNE LÄN</t>
        </is>
      </c>
      <c r="G97" t="inlineStr">
        <is>
          <t>KLIPPAN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45096-2025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46249</v>
      </c>
      <c r="F98" t="inlineStr">
        <is>
          <t>SKÅNE LÄN</t>
        </is>
      </c>
      <c r="G98" t="inlineStr">
        <is>
          <t>KLIPPAN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45739</v>
      </c>
      <c r="E99" s="1" t="n">
        <v>46249</v>
      </c>
      <c r="F99" t="inlineStr">
        <is>
          <t>SKÅNE LÄN</t>
        </is>
      </c>
      <c r="G99" t="inlineStr">
        <is>
          <t>KLIPPAN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45519</v>
      </c>
      <c r="E100" s="1" t="n">
        <v>46249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44901</v>
      </c>
      <c r="E101" s="1" t="n">
        <v>46249</v>
      </c>
      <c r="F101" t="inlineStr">
        <is>
          <t>SKÅNE LÄN</t>
        </is>
      </c>
      <c r="G101" t="inlineStr">
        <is>
          <t>KLIPPAN</t>
        </is>
      </c>
      <c r="H101" t="inlineStr">
        <is>
          <t>Kommuner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46249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38945-2023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46249</v>
      </c>
      <c r="F103" t="inlineStr">
        <is>
          <t>SKÅNE LÄN</t>
        </is>
      </c>
      <c r="G103" t="inlineStr">
        <is>
          <t>KLIPPAN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55291-2023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46249</v>
      </c>
      <c r="F104" t="inlineStr">
        <is>
          <t>SKÅNE LÄN</t>
        </is>
      </c>
      <c r="G104" t="inlineStr">
        <is>
          <t>KLIPPAN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3498-2024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45320</v>
      </c>
      <c r="E105" s="1" t="n">
        <v>46249</v>
      </c>
      <c r="F105" t="inlineStr">
        <is>
          <t>SKÅNE LÄN</t>
        </is>
      </c>
      <c r="G105" t="inlineStr">
        <is>
          <t>KLIPPAN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45279</v>
      </c>
      <c r="E106" s="1" t="n">
        <v>46249</v>
      </c>
      <c r="F106" t="inlineStr">
        <is>
          <t>SKÅNE LÄN</t>
        </is>
      </c>
      <c r="G106" t="inlineStr">
        <is>
          <t>KLIPPAN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27813-2023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46249</v>
      </c>
      <c r="F107" t="inlineStr">
        <is>
          <t>SKÅNE LÄN</t>
        </is>
      </c>
      <c r="G107" t="inlineStr">
        <is>
          <t>KLIPPAN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44928</v>
      </c>
      <c r="E108" s="1" t="n">
        <v>46249</v>
      </c>
      <c r="F108" t="inlineStr">
        <is>
          <t>SKÅNE LÄN</t>
        </is>
      </c>
      <c r="G108" t="inlineStr">
        <is>
          <t>KLIPPAN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40092-2025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46249</v>
      </c>
      <c r="F109" t="inlineStr">
        <is>
          <t>SKÅNE LÄN</t>
        </is>
      </c>
      <c r="G109" t="inlineStr">
        <is>
          <t>KLIPPAN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46249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45950</v>
      </c>
      <c r="E111" s="1" t="n">
        <v>46249</v>
      </c>
      <c r="F111" t="inlineStr">
        <is>
          <t>SKÅNE LÄN</t>
        </is>
      </c>
      <c r="G111" t="inlineStr">
        <is>
          <t>KLIPPAN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14774-2026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46101</v>
      </c>
      <c r="E112" s="1" t="n">
        <v>46249</v>
      </c>
      <c r="F112" t="inlineStr">
        <is>
          <t>SKÅNE LÄN</t>
        </is>
      </c>
      <c r="G112" t="inlineStr">
        <is>
          <t>KLIPPAN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8017-2022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44609</v>
      </c>
      <c r="E113" s="1" t="n">
        <v>46249</v>
      </c>
      <c r="F113" t="inlineStr">
        <is>
          <t>SKÅNE LÄN</t>
        </is>
      </c>
      <c r="G113" t="inlineStr">
        <is>
          <t>KLIPPAN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45212</v>
      </c>
      <c r="E114" s="1" t="n">
        <v>46249</v>
      </c>
      <c r="F114" t="inlineStr">
        <is>
          <t>SKÅNE LÄN</t>
        </is>
      </c>
      <c r="G114" t="inlineStr">
        <is>
          <t>KLIPPAN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42275-2024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45562</v>
      </c>
      <c r="E115" s="1" t="n">
        <v>46249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45474</v>
      </c>
      <c r="E116" s="1" t="n">
        <v>46249</v>
      </c>
      <c r="F116" t="inlineStr">
        <is>
          <t>SKÅNE LÄN</t>
        </is>
      </c>
      <c r="G116" t="inlineStr">
        <is>
          <t>KLIPPAN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53868-2022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44880</v>
      </c>
      <c r="E117" s="1" t="n">
        <v>46249</v>
      </c>
      <c r="F117" t="inlineStr">
        <is>
          <t>SKÅNE LÄN</t>
        </is>
      </c>
      <c r="G117" t="inlineStr">
        <is>
          <t>KLIPPAN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14614-2023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45013</v>
      </c>
      <c r="E118" s="1" t="n">
        <v>46249</v>
      </c>
      <c r="F118" t="inlineStr">
        <is>
          <t>SKÅNE LÄN</t>
        </is>
      </c>
      <c r="G118" t="inlineStr">
        <is>
          <t>KLIPPAN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68856-2021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44530</v>
      </c>
      <c r="E119" s="1" t="n">
        <v>46249</v>
      </c>
      <c r="F119" t="inlineStr">
        <is>
          <t>SKÅNE LÄN</t>
        </is>
      </c>
      <c r="G119" t="inlineStr">
        <is>
          <t>KLIPPAN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46249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55696-2025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45972</v>
      </c>
      <c r="E121" s="1" t="n">
        <v>46249</v>
      </c>
      <c r="F121" t="inlineStr">
        <is>
          <t>SKÅNE LÄN</t>
        </is>
      </c>
      <c r="G121" t="inlineStr">
        <is>
          <t>KLIPPAN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46249</v>
      </c>
      <c r="F122" t="inlineStr">
        <is>
          <t>SKÅNE LÄN</t>
        </is>
      </c>
      <c r="G122" t="inlineStr">
        <is>
          <t>KLIPPAN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45260</v>
      </c>
      <c r="E123" s="1" t="n">
        <v>46249</v>
      </c>
      <c r="F123" t="inlineStr">
        <is>
          <t>SKÅNE LÄN</t>
        </is>
      </c>
      <c r="G123" t="inlineStr">
        <is>
          <t>KLIPPAN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45562</v>
      </c>
      <c r="E124" s="1" t="n">
        <v>46249</v>
      </c>
      <c r="F124" t="inlineStr">
        <is>
          <t>SKÅNE LÄN</t>
        </is>
      </c>
      <c r="G124" t="inlineStr">
        <is>
          <t>KLIPPAN</t>
        </is>
      </c>
      <c r="H124" t="inlineStr">
        <is>
          <t>Sveaskog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46249</v>
      </c>
      <c r="F125" t="inlineStr">
        <is>
          <t>SKÅNE LÄN</t>
        </is>
      </c>
      <c r="G125" t="inlineStr">
        <is>
          <t>KLIPPAN</t>
        </is>
      </c>
      <c r="I125" t="n">
        <v>5.6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44936</v>
      </c>
      <c r="E126" s="1" t="n">
        <v>46249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33462-2025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46249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46249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46249</v>
      </c>
      <c r="F129" t="inlineStr">
        <is>
          <t>SKÅNE LÄN</t>
        </is>
      </c>
      <c r="G129" t="inlineStr">
        <is>
          <t>KLIPPAN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45260</v>
      </c>
      <c r="E130" s="1" t="n">
        <v>46249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13420-2023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45005</v>
      </c>
      <c r="E131" s="1" t="n">
        <v>46249</v>
      </c>
      <c r="F131" t="inlineStr">
        <is>
          <t>SKÅNE LÄN</t>
        </is>
      </c>
      <c r="G131" t="inlineStr">
        <is>
          <t>KLIPPAN</t>
        </is>
      </c>
      <c r="H131" t="inlineStr">
        <is>
          <t>Övriga Aktiebolag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45069</v>
      </c>
      <c r="E132" s="1" t="n">
        <v>46249</v>
      </c>
      <c r="F132" t="inlineStr">
        <is>
          <t>SKÅNE LÄN</t>
        </is>
      </c>
      <c r="G132" t="inlineStr">
        <is>
          <t>KLIPPAN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46249</v>
      </c>
      <c r="F133" t="inlineStr">
        <is>
          <t>SKÅNE LÄN</t>
        </is>
      </c>
      <c r="G133" t="inlineStr">
        <is>
          <t>KLIPPAN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46249</v>
      </c>
      <c r="F134" t="inlineStr">
        <is>
          <t>SKÅNE LÄN</t>
        </is>
      </c>
      <c r="G134" t="inlineStr">
        <is>
          <t>KLIPPAN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46249</v>
      </c>
      <c r="F135" t="inlineStr">
        <is>
          <t>SKÅNE LÄN</t>
        </is>
      </c>
      <c r="G135" t="inlineStr">
        <is>
          <t>KLIPPAN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20717-2023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45055</v>
      </c>
      <c r="E136" s="1" t="n">
        <v>46249</v>
      </c>
      <c r="F136" t="inlineStr">
        <is>
          <t>SKÅNE LÄN</t>
        </is>
      </c>
      <c r="G136" t="inlineStr">
        <is>
          <t>KLIPPAN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46249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46249</v>
      </c>
      <c r="F138" t="inlineStr">
        <is>
          <t>SKÅNE LÄN</t>
        </is>
      </c>
      <c r="G138" t="inlineStr">
        <is>
          <t>KLIPPAN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27454-2024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46249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46249</v>
      </c>
      <c r="F140" t="inlineStr">
        <is>
          <t>SKÅNE LÄN</t>
        </is>
      </c>
      <c r="G140" t="inlineStr">
        <is>
          <t>KLIPPAN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46249</v>
      </c>
      <c r="F141" t="inlineStr">
        <is>
          <t>SKÅNE LÄN</t>
        </is>
      </c>
      <c r="G141" t="inlineStr">
        <is>
          <t>KLIPPAN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38325-2023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45161</v>
      </c>
      <c r="E142" s="1" t="n">
        <v>46249</v>
      </c>
      <c r="F142" t="inlineStr">
        <is>
          <t>SKÅNE LÄN</t>
        </is>
      </c>
      <c r="G142" t="inlineStr">
        <is>
          <t>KLIPPAN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44593</v>
      </c>
      <c r="E143" s="1" t="n">
        <v>46249</v>
      </c>
      <c r="F143" t="inlineStr">
        <is>
          <t>SKÅNE LÄN</t>
        </is>
      </c>
      <c r="G143" t="inlineStr">
        <is>
          <t>KLIPPAN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46249</v>
      </c>
      <c r="F144" t="inlineStr">
        <is>
          <t>SKÅNE LÄN</t>
        </is>
      </c>
      <c r="G144" t="inlineStr">
        <is>
          <t>KLIPPAN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46249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44875</v>
      </c>
      <c r="E146" s="1" t="n">
        <v>46249</v>
      </c>
      <c r="F146" t="inlineStr">
        <is>
          <t>SKÅNE LÄN</t>
        </is>
      </c>
      <c r="G146" t="inlineStr">
        <is>
          <t>KLIPPAN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50781-2025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46249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45005</v>
      </c>
      <c r="E148" s="1" t="n">
        <v>46249</v>
      </c>
      <c r="F148" t="inlineStr">
        <is>
          <t>SKÅNE LÄN</t>
        </is>
      </c>
      <c r="G148" t="inlineStr">
        <is>
          <t>KLIPPAN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46249</v>
      </c>
      <c r="F149" t="inlineStr">
        <is>
          <t>SKÅNE LÄN</t>
        </is>
      </c>
      <c r="G149" t="inlineStr">
        <is>
          <t>KLIPPAN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20082-2026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46249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14619-2023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45013</v>
      </c>
      <c r="E151" s="1" t="n">
        <v>46249</v>
      </c>
      <c r="F151" t="inlineStr">
        <is>
          <t>SKÅNE LÄN</t>
        </is>
      </c>
      <c r="G151" t="inlineStr">
        <is>
          <t>KLIPPAN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46249</v>
      </c>
      <c r="F152" t="inlineStr">
        <is>
          <t>SKÅNE LÄN</t>
        </is>
      </c>
      <c r="G152" t="inlineStr">
        <is>
          <t>KLIPPAN</t>
        </is>
      </c>
      <c r="H152" t="inlineStr">
        <is>
          <t>Sveaskog</t>
        </is>
      </c>
      <c r="I152" t="n">
        <v>9.300000000000001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55587-2021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44475</v>
      </c>
      <c r="E153" s="1" t="n">
        <v>46249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46249</v>
      </c>
      <c r="F154" t="inlineStr">
        <is>
          <t>SKÅNE LÄN</t>
        </is>
      </c>
      <c r="G154" t="inlineStr">
        <is>
          <t>KLIPPAN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46249</v>
      </c>
      <c r="F155" t="inlineStr">
        <is>
          <t>SKÅNE LÄN</t>
        </is>
      </c>
      <c r="G155" t="inlineStr">
        <is>
          <t>KLIPPAN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44944</v>
      </c>
      <c r="E156" s="1" t="n">
        <v>46249</v>
      </c>
      <c r="F156" t="inlineStr">
        <is>
          <t>SKÅNE LÄN</t>
        </is>
      </c>
      <c r="G156" t="inlineStr">
        <is>
          <t>KLIPPAN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46249</v>
      </c>
      <c r="F157" t="inlineStr">
        <is>
          <t>SKÅNE LÄN</t>
        </is>
      </c>
      <c r="G157" t="inlineStr">
        <is>
          <t>KLIPPAN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46249</v>
      </c>
      <c r="F158" t="inlineStr">
        <is>
          <t>SKÅNE LÄN</t>
        </is>
      </c>
      <c r="G158" t="inlineStr">
        <is>
          <t>KLIPPAN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46249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46249</v>
      </c>
      <c r="F160" t="inlineStr">
        <is>
          <t>SKÅNE LÄN</t>
        </is>
      </c>
      <c r="G160" t="inlineStr">
        <is>
          <t>KLIPPAN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34051-2024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45523</v>
      </c>
      <c r="E161" s="1" t="n">
        <v>46249</v>
      </c>
      <c r="F161" t="inlineStr">
        <is>
          <t>SKÅNE LÄN</t>
        </is>
      </c>
      <c r="G161" t="inlineStr">
        <is>
          <t>KLIPPAN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46249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46249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46249</v>
      </c>
      <c r="F164" t="inlineStr">
        <is>
          <t>SKÅNE LÄN</t>
        </is>
      </c>
      <c r="G164" t="inlineStr">
        <is>
          <t>KLIPPAN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46249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45224</v>
      </c>
      <c r="E166" s="1" t="n">
        <v>46249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46249</v>
      </c>
      <c r="F167" t="inlineStr">
        <is>
          <t>SKÅNE LÄN</t>
        </is>
      </c>
      <c r="G167" t="inlineStr">
        <is>
          <t>KLIPPAN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9488-2026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46071</v>
      </c>
      <c r="E168" s="1" t="n">
        <v>46249</v>
      </c>
      <c r="F168" t="inlineStr">
        <is>
          <t>SKÅNE LÄN</t>
        </is>
      </c>
      <c r="G168" t="inlineStr">
        <is>
          <t>KLIPPAN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36842-2024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45538</v>
      </c>
      <c r="E169" s="1" t="n">
        <v>46249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53289-2025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45958</v>
      </c>
      <c r="E170" s="1" t="n">
        <v>46249</v>
      </c>
      <c r="F170" t="inlineStr">
        <is>
          <t>SKÅNE LÄN</t>
        </is>
      </c>
      <c r="G170" t="inlineStr">
        <is>
          <t>KLIPPAN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44930</v>
      </c>
      <c r="E171" s="1" t="n">
        <v>46249</v>
      </c>
      <c r="F171" t="inlineStr">
        <is>
          <t>SKÅNE LÄN</t>
        </is>
      </c>
      <c r="G171" t="inlineStr">
        <is>
          <t>KLIPPAN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46249</v>
      </c>
      <c r="F172" t="inlineStr">
        <is>
          <t>SKÅNE LÄN</t>
        </is>
      </c>
      <c r="G172" t="inlineStr">
        <is>
          <t>KLIPPAN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45055</v>
      </c>
      <c r="E173" s="1" t="n">
        <v>46249</v>
      </c>
      <c r="F173" t="inlineStr">
        <is>
          <t>SKÅNE LÄN</t>
        </is>
      </c>
      <c r="G173" t="inlineStr">
        <is>
          <t>KLIPPAN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15070-2024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45399</v>
      </c>
      <c r="E174" s="1" t="n">
        <v>46249</v>
      </c>
      <c r="F174" t="inlineStr">
        <is>
          <t>SKÅNE LÄN</t>
        </is>
      </c>
      <c r="G174" t="inlineStr">
        <is>
          <t>KLIPPAN</t>
        </is>
      </c>
      <c r="H174" t="inlineStr">
        <is>
          <t>Övriga Aktiebolag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55588-2021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44475</v>
      </c>
      <c r="E175" s="1" t="n">
        <v>46249</v>
      </c>
      <c r="F175" t="inlineStr">
        <is>
          <t>SKÅNE LÄN</t>
        </is>
      </c>
      <c r="G175" t="inlineStr">
        <is>
          <t>KLIPPAN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45751</v>
      </c>
      <c r="E176" s="1" t="n">
        <v>46249</v>
      </c>
      <c r="F176" t="inlineStr">
        <is>
          <t>SKÅNE LÄN</t>
        </is>
      </c>
      <c r="G176" t="inlineStr">
        <is>
          <t>KLIPPAN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20627-2026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46249</v>
      </c>
      <c r="F177" t="inlineStr">
        <is>
          <t>SKÅNE LÄN</t>
        </is>
      </c>
      <c r="G177" t="inlineStr">
        <is>
          <t>KLIPPAN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46249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45739</v>
      </c>
      <c r="E179" s="1" t="n">
        <v>46249</v>
      </c>
      <c r="F179" t="inlineStr">
        <is>
          <t>SKÅNE LÄN</t>
        </is>
      </c>
      <c r="G179" t="inlineStr">
        <is>
          <t>KLIPPAN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44991</v>
      </c>
      <c r="E180" s="1" t="n">
        <v>46249</v>
      </c>
      <c r="F180" t="inlineStr">
        <is>
          <t>SKÅNE LÄN</t>
        </is>
      </c>
      <c r="G180" t="inlineStr">
        <is>
          <t>KLIPPAN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45596-2024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46249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46249</v>
      </c>
      <c r="F182" t="inlineStr">
        <is>
          <t>SKÅNE LÄN</t>
        </is>
      </c>
      <c r="G182" t="inlineStr">
        <is>
          <t>KLIPPAN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28247-2023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46249</v>
      </c>
      <c r="F183" t="inlineStr">
        <is>
          <t>SKÅNE LÄN</t>
        </is>
      </c>
      <c r="G183" t="inlineStr">
        <is>
          <t>KLIPPAN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44944</v>
      </c>
      <c r="E184" s="1" t="n">
        <v>46249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46249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46249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46149</v>
      </c>
      <c r="E187" s="1" t="n">
        <v>46249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21609-2026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46149</v>
      </c>
      <c r="E188" s="1" t="n">
        <v>46249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21607-2026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46149</v>
      </c>
      <c r="E189" s="1" t="n">
        <v>46249</v>
      </c>
      <c r="F189" t="inlineStr">
        <is>
          <t>SKÅNE LÄN</t>
        </is>
      </c>
      <c r="G189" t="inlineStr">
        <is>
          <t>KLIPPAN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45562</v>
      </c>
      <c r="E190" s="1" t="n">
        <v>46249</v>
      </c>
      <c r="F190" t="inlineStr">
        <is>
          <t>SKÅNE LÄN</t>
        </is>
      </c>
      <c r="G190" t="inlineStr">
        <is>
          <t>KLIPPAN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21608-2026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46249</v>
      </c>
      <c r="F191" t="inlineStr">
        <is>
          <t>SKÅNE LÄN</t>
        </is>
      </c>
      <c r="G191" t="inlineStr">
        <is>
          <t>KLIPPAN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46249</v>
      </c>
      <c r="F192" t="inlineStr">
        <is>
          <t>SKÅNE LÄN</t>
        </is>
      </c>
      <c r="G192" t="inlineStr">
        <is>
          <t>KLIPPAN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63499-2025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46013</v>
      </c>
      <c r="E193" s="1" t="n">
        <v>46249</v>
      </c>
      <c r="F193" t="inlineStr">
        <is>
          <t>SKÅNE LÄN</t>
        </is>
      </c>
      <c r="G193" t="inlineStr">
        <is>
          <t>KLIPPAN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15812-2024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45404</v>
      </c>
      <c r="E194" s="1" t="n">
        <v>46249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46249</v>
      </c>
      <c r="F195" t="inlineStr">
        <is>
          <t>SKÅNE LÄN</t>
        </is>
      </c>
      <c r="G195" t="inlineStr">
        <is>
          <t>KLIPPAN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46249</v>
      </c>
      <c r="F196" t="inlineStr">
        <is>
          <t>SKÅNE LÄN</t>
        </is>
      </c>
      <c r="G196" t="inlineStr">
        <is>
          <t>KLIPPAN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46249</v>
      </c>
      <c r="F197" t="inlineStr">
        <is>
          <t>SKÅNE LÄN</t>
        </is>
      </c>
      <c r="G197" t="inlineStr">
        <is>
          <t>KLIPPAN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49370-2023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45211</v>
      </c>
      <c r="E198" s="1" t="n">
        <v>46249</v>
      </c>
      <c r="F198" t="inlineStr">
        <is>
          <t>SKÅNE LÄN</t>
        </is>
      </c>
      <c r="G198" t="inlineStr">
        <is>
          <t>KLIPPAN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44489</v>
      </c>
      <c r="E199" s="1" t="n">
        <v>46249</v>
      </c>
      <c r="F199" t="inlineStr">
        <is>
          <t>SKÅNE LÄN</t>
        </is>
      </c>
      <c r="G199" t="inlineStr">
        <is>
          <t>KLIPPAN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46249</v>
      </c>
      <c r="F200" t="inlineStr">
        <is>
          <t>SKÅNE LÄN</t>
        </is>
      </c>
      <c r="G200" t="inlineStr">
        <is>
          <t>KLIPPAN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46249</v>
      </c>
      <c r="F201" t="inlineStr">
        <is>
          <t>SKÅNE LÄN</t>
        </is>
      </c>
      <c r="G201" t="inlineStr">
        <is>
          <t>KLIPPAN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61682-2023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45264</v>
      </c>
      <c r="E202" s="1" t="n">
        <v>46249</v>
      </c>
      <c r="F202" t="inlineStr">
        <is>
          <t>SKÅNE LÄN</t>
        </is>
      </c>
      <c r="G202" t="inlineStr">
        <is>
          <t>KLIPPAN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46249</v>
      </c>
      <c r="F203" t="inlineStr">
        <is>
          <t>SKÅNE LÄN</t>
        </is>
      </c>
      <c r="G203" t="inlineStr">
        <is>
          <t>KLIPPAN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11705-2023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44992</v>
      </c>
      <c r="E204" s="1" t="n">
        <v>46249</v>
      </c>
      <c r="F204" t="inlineStr">
        <is>
          <t>SKÅNE LÄN</t>
        </is>
      </c>
      <c r="G204" t="inlineStr">
        <is>
          <t>KLIPPAN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46249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18214-2023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46249</v>
      </c>
      <c r="F206" t="inlineStr">
        <is>
          <t>SKÅNE LÄN</t>
        </is>
      </c>
      <c r="G206" t="inlineStr">
        <is>
          <t>KLIPPAN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46209</v>
      </c>
      <c r="E207" s="1" t="n">
        <v>46249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44944</v>
      </c>
      <c r="E208" s="1" t="n">
        <v>46249</v>
      </c>
      <c r="F208" t="inlineStr">
        <is>
          <t>SKÅNE LÄN</t>
        </is>
      </c>
      <c r="G208" t="inlineStr">
        <is>
          <t>KLIPPAN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46249</v>
      </c>
      <c r="F209" t="inlineStr">
        <is>
          <t>SKÅNE LÄN</t>
        </is>
      </c>
      <c r="G209" t="inlineStr">
        <is>
          <t>KLIPPAN</t>
        </is>
      </c>
      <c r="H209" t="inlineStr">
        <is>
          <t>Övriga Aktiebolag</t>
        </is>
      </c>
      <c r="I209" t="n">
        <v>11.6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7661-2025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46249</v>
      </c>
      <c r="F210" t="inlineStr">
        <is>
          <t>SKÅNE LÄN</t>
        </is>
      </c>
      <c r="G210" t="inlineStr">
        <is>
          <t>KLIPPAN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45349</v>
      </c>
      <c r="E211" s="1" t="n">
        <v>46249</v>
      </c>
      <c r="F211" t="inlineStr">
        <is>
          <t>SKÅNE LÄN</t>
        </is>
      </c>
      <c r="G211" t="inlineStr">
        <is>
          <t>KLIPPAN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40173-2024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45554</v>
      </c>
      <c r="E212" s="1" t="n">
        <v>46249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46249</v>
      </c>
      <c r="F213" t="inlineStr">
        <is>
          <t>SKÅNE LÄN</t>
        </is>
      </c>
      <c r="G213" t="inlineStr">
        <is>
          <t>KLIPPAN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46249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46216</v>
      </c>
      <c r="E215" s="1" t="n">
        <v>46249</v>
      </c>
      <c r="F215" t="inlineStr">
        <is>
          <t>SKÅNE LÄN</t>
        </is>
      </c>
      <c r="G215" t="inlineStr">
        <is>
          <t>KLIPPAN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46249</v>
      </c>
      <c r="F216" t="inlineStr">
        <is>
          <t>SKÅNE LÄN</t>
        </is>
      </c>
      <c r="G216" t="inlineStr">
        <is>
          <t>KLIPPAN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46249</v>
      </c>
      <c r="F217" t="inlineStr">
        <is>
          <t>SKÅNE LÄN</t>
        </is>
      </c>
      <c r="G217" t="inlineStr">
        <is>
          <t>KLIPPAN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31121-2026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46216</v>
      </c>
      <c r="E218" s="1" t="n">
        <v>46249</v>
      </c>
      <c r="F218" t="inlineStr">
        <is>
          <t>SKÅNE LÄN</t>
        </is>
      </c>
      <c r="G218" t="inlineStr">
        <is>
          <t>KLIPPAN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41294-2022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46249</v>
      </c>
      <c r="F219" t="inlineStr">
        <is>
          <t>SKÅNE LÄN</t>
        </is>
      </c>
      <c r="G219" t="inlineStr">
        <is>
          <t>KLIPPAN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9270-2022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44616</v>
      </c>
      <c r="E220" s="1" t="n">
        <v>46249</v>
      </c>
      <c r="F220" t="inlineStr">
        <is>
          <t>SKÅNE LÄN</t>
        </is>
      </c>
      <c r="G220" t="inlineStr">
        <is>
          <t>KLIPPAN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46249</v>
      </c>
      <c r="F221" t="inlineStr">
        <is>
          <t>SKÅNE LÄN</t>
        </is>
      </c>
      <c r="G221" t="inlineStr">
        <is>
          <t>KLIPPAN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45548</v>
      </c>
      <c r="E222" s="1" t="n">
        <v>46249</v>
      </c>
      <c r="F222" t="inlineStr">
        <is>
          <t>SKÅNE LÄN</t>
        </is>
      </c>
      <c r="G222" t="inlineStr">
        <is>
          <t>KLIPPAN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46249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45597</v>
      </c>
      <c r="E224" s="1" t="n">
        <v>46249</v>
      </c>
      <c r="F224" t="inlineStr">
        <is>
          <t>SKÅNE LÄN</t>
        </is>
      </c>
      <c r="G224" t="inlineStr">
        <is>
          <t>KLIPPAN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45573</v>
      </c>
      <c r="E225" s="1" t="n">
        <v>46249</v>
      </c>
      <c r="F225" t="inlineStr">
        <is>
          <t>SKÅNE LÄN</t>
        </is>
      </c>
      <c r="G225" t="inlineStr">
        <is>
          <t>KLIPPAN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24138-2026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46249</v>
      </c>
      <c r="F226" t="inlineStr">
        <is>
          <t>SKÅNE LÄN</t>
        </is>
      </c>
      <c r="G226" t="inlineStr">
        <is>
          <t>KLIPPAN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69394-2021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44531</v>
      </c>
      <c r="E227" s="1" t="n">
        <v>46249</v>
      </c>
      <c r="F227" t="inlineStr">
        <is>
          <t>SKÅNE LÄN</t>
        </is>
      </c>
      <c r="G227" t="inlineStr">
        <is>
          <t>KLIPPAN</t>
        </is>
      </c>
      <c r="H227" t="inlineStr">
        <is>
          <t>Övriga Aktiebolag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46835-2023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45199</v>
      </c>
      <c r="E228" s="1" t="n">
        <v>46249</v>
      </c>
      <c r="F228" t="inlineStr">
        <is>
          <t>SKÅNE LÄN</t>
        </is>
      </c>
      <c r="G228" t="inlineStr">
        <is>
          <t>KLIPPAN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46249</v>
      </c>
      <c r="F229" t="inlineStr">
        <is>
          <t>SKÅNE LÄN</t>
        </is>
      </c>
      <c r="G229" t="inlineStr">
        <is>
          <t>KLIPPAN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46177</v>
      </c>
      <c r="E230" s="1" t="n">
        <v>46249</v>
      </c>
      <c r="F230" t="inlineStr">
        <is>
          <t>SKÅNE LÄN</t>
        </is>
      </c>
      <c r="G230" t="inlineStr">
        <is>
          <t>KLIPPAN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46249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46210</v>
      </c>
      <c r="E232" s="1" t="n">
        <v>46249</v>
      </c>
      <c r="F232" t="inlineStr">
        <is>
          <t>SKÅNE LÄN</t>
        </is>
      </c>
      <c r="G232" t="inlineStr">
        <is>
          <t>KLIPPAN</t>
        </is>
      </c>
      <c r="H232" t="inlineStr">
        <is>
          <t>Övriga Aktiebolag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46249</v>
      </c>
      <c r="F233" t="inlineStr">
        <is>
          <t>SKÅNE LÄN</t>
        </is>
      </c>
      <c r="G233" t="inlineStr">
        <is>
          <t>KLIPPAN</t>
        </is>
      </c>
      <c r="H233" t="inlineStr">
        <is>
          <t>Övriga Aktiebolag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45104</v>
      </c>
      <c r="E234" s="1" t="n">
        <v>46249</v>
      </c>
      <c r="F234" t="inlineStr">
        <is>
          <t>SKÅNE LÄN</t>
        </is>
      </c>
      <c r="G234" t="inlineStr">
        <is>
          <t>KLIPPAN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46249</v>
      </c>
      <c r="F235" t="inlineStr">
        <is>
          <t>SKÅNE LÄN</t>
        </is>
      </c>
      <c r="G235" t="inlineStr">
        <is>
          <t>KLIPPAN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46055</v>
      </c>
      <c r="E236" s="1" t="n">
        <v>46249</v>
      </c>
      <c r="F236" t="inlineStr">
        <is>
          <t>SKÅNE LÄN</t>
        </is>
      </c>
      <c r="G236" t="inlineStr">
        <is>
          <t>KLIPPAN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46249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39238-2022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46249</v>
      </c>
      <c r="F238" t="inlineStr">
        <is>
          <t>SKÅNE LÄN</t>
        </is>
      </c>
      <c r="G238" t="inlineStr">
        <is>
          <t>KLIPPAN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27898-2025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45817</v>
      </c>
      <c r="E239" s="1" t="n">
        <v>46249</v>
      </c>
      <c r="F239" t="inlineStr">
        <is>
          <t>SKÅNE LÄN</t>
        </is>
      </c>
      <c r="G239" t="inlineStr">
        <is>
          <t>KLIPPAN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31588-2026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46223</v>
      </c>
      <c r="E240" s="1" t="n">
        <v>46249</v>
      </c>
      <c r="F240" t="inlineStr">
        <is>
          <t>SKÅNE LÄN</t>
        </is>
      </c>
      <c r="G240" t="inlineStr">
        <is>
          <t>KLIPPAN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45721</v>
      </c>
      <c r="E241" s="1" t="n">
        <v>46249</v>
      </c>
      <c r="F241" t="inlineStr">
        <is>
          <t>SKÅNE LÄN</t>
        </is>
      </c>
      <c r="G241" t="inlineStr">
        <is>
          <t>KLIPPAN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45638</v>
      </c>
      <c r="E242" s="1" t="n">
        <v>46249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45094</v>
      </c>
      <c r="E243" s="1" t="n">
        <v>46249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44593</v>
      </c>
      <c r="E244" s="1" t="n">
        <v>46249</v>
      </c>
      <c r="F244" t="inlineStr">
        <is>
          <t>SKÅNE LÄN</t>
        </is>
      </c>
      <c r="G244" t="inlineStr">
        <is>
          <t>KLIPPAN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44659</v>
      </c>
      <c r="E245" s="1" t="n">
        <v>46249</v>
      </c>
      <c r="F245" t="inlineStr">
        <is>
          <t>SKÅNE LÄN</t>
        </is>
      </c>
      <c r="G245" t="inlineStr">
        <is>
          <t>KLIPPAN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46249</v>
      </c>
      <c r="F246" t="inlineStr">
        <is>
          <t>SKÅNE LÄN</t>
        </is>
      </c>
      <c r="G246" t="inlineStr">
        <is>
          <t>KLIPPAN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29284-2025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45824</v>
      </c>
      <c r="E247" s="1" t="n">
        <v>46249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46249</v>
      </c>
      <c r="F248" t="inlineStr">
        <is>
          <t>SKÅNE LÄN</t>
        </is>
      </c>
      <c r="G248" t="inlineStr">
        <is>
          <t>KLIPPAN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45835</v>
      </c>
      <c r="E249" s="1" t="n">
        <v>46249</v>
      </c>
      <c r="F249" t="inlineStr">
        <is>
          <t>SKÅNE LÄN</t>
        </is>
      </c>
      <c r="G249" t="inlineStr">
        <is>
          <t>KLIPPAN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46249</v>
      </c>
      <c r="F250" t="inlineStr">
        <is>
          <t>SKÅNE LÄN</t>
        </is>
      </c>
      <c r="G250" t="inlineStr">
        <is>
          <t>KLIPPAN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45660</v>
      </c>
      <c r="E251" s="1" t="n">
        <v>46249</v>
      </c>
      <c r="F251" t="inlineStr">
        <is>
          <t>SKÅNE LÄN</t>
        </is>
      </c>
      <c r="G251" t="inlineStr">
        <is>
          <t>KLIPPAN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45442</v>
      </c>
      <c r="E252" s="1" t="n">
        <v>46249</v>
      </c>
      <c r="F252" t="inlineStr">
        <is>
          <t>SKÅNE LÄN</t>
        </is>
      </c>
      <c r="G252" t="inlineStr">
        <is>
          <t>KLIPPAN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46728-2023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45198</v>
      </c>
      <c r="E253" s="1" t="n">
        <v>46249</v>
      </c>
      <c r="F253" t="inlineStr">
        <is>
          <t>SKÅNE LÄN</t>
        </is>
      </c>
      <c r="G253" t="inlineStr">
        <is>
          <t>KLIPPAN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46249</v>
      </c>
      <c r="F254" t="inlineStr">
        <is>
          <t>SKÅNE LÄN</t>
        </is>
      </c>
      <c r="G254" t="inlineStr">
        <is>
          <t>KLIPPAN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22120-2025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46249</v>
      </c>
      <c r="F255" t="inlineStr">
        <is>
          <t>SKÅNE LÄN</t>
        </is>
      </c>
      <c r="G255" t="inlineStr">
        <is>
          <t>KLIPPAN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50357-2021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44455</v>
      </c>
      <c r="E256" s="1" t="n">
        <v>46249</v>
      </c>
      <c r="F256" t="inlineStr">
        <is>
          <t>SKÅNE LÄN</t>
        </is>
      </c>
      <c r="G256" t="inlineStr">
        <is>
          <t>KLIPPAN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46249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46202</v>
      </c>
      <c r="E258" s="1" t="n">
        <v>46249</v>
      </c>
      <c r="F258" t="inlineStr">
        <is>
          <t>SKÅNE LÄN</t>
        </is>
      </c>
      <c r="G258" t="inlineStr">
        <is>
          <t>KLIPPAN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46249</v>
      </c>
      <c r="F259" t="inlineStr">
        <is>
          <t>SKÅNE LÄN</t>
        </is>
      </c>
      <c r="G259" t="inlineStr">
        <is>
          <t>KLIPPAN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30240-2026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46206</v>
      </c>
      <c r="E260" s="1" t="n">
        <v>46249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46249</v>
      </c>
      <c r="F261" t="inlineStr">
        <is>
          <t>SKÅNE LÄN</t>
        </is>
      </c>
      <c r="G261" t="inlineStr">
        <is>
          <t>KLIPPAN</t>
        </is>
      </c>
      <c r="H261" t="inlineStr">
        <is>
          <t>Sveaskog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704-2022</t>
        </is>
      </c>
      <c r="B262" t="inlineStr">
        <is>
          <t>samrådsanmälan</t>
        </is>
      </c>
      <c r="C262" t="inlineStr">
        <is>
          <t>Skogsbilväg</t>
        </is>
      </c>
      <c r="D262" s="1" t="n">
        <v>44599</v>
      </c>
      <c r="E262" s="1" t="n">
        <v>46249</v>
      </c>
      <c r="F262" t="inlineStr">
        <is>
          <t>SKÅNE LÄN</t>
        </is>
      </c>
      <c r="G262" t="inlineStr">
        <is>
          <t>KLIPPAN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2678-2022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44701</v>
      </c>
      <c r="E263" s="1" t="n">
        <v>46249</v>
      </c>
      <c r="F263" t="inlineStr">
        <is>
          <t>SKÅNE LÄN</t>
        </is>
      </c>
      <c r="G263" t="inlineStr">
        <is>
          <t>KLIPPAN</t>
        </is>
      </c>
      <c r="I263" t="n">
        <v>15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2690-2022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44701</v>
      </c>
      <c r="E264" s="1" t="n">
        <v>46249</v>
      </c>
      <c r="F264" t="inlineStr">
        <is>
          <t>SKÅNE LÄN</t>
        </is>
      </c>
      <c r="G264" t="inlineStr">
        <is>
          <t>KLIPPAN</t>
        </is>
      </c>
      <c r="I264" t="n">
        <v>16.3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3541-2023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45209</v>
      </c>
      <c r="E265" s="1" t="n">
        <v>46249</v>
      </c>
      <c r="F265" t="inlineStr">
        <is>
          <t>SKÅNE LÄN</t>
        </is>
      </c>
      <c r="G265" t="inlineStr">
        <is>
          <t>KLIPPAN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5970-2022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44858</v>
      </c>
      <c r="E266" s="1" t="n">
        <v>46249</v>
      </c>
      <c r="F266" t="inlineStr">
        <is>
          <t>SKÅNE LÄN</t>
        </is>
      </c>
      <c r="G266" t="inlineStr">
        <is>
          <t>KLIPPAN</t>
        </is>
      </c>
      <c r="I266" t="n">
        <v>10.6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116-2023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44936</v>
      </c>
      <c r="E267" s="1" t="n">
        <v>46249</v>
      </c>
      <c r="F267" t="inlineStr">
        <is>
          <t>SKÅNE LÄN</t>
        </is>
      </c>
      <c r="G267" t="inlineStr">
        <is>
          <t>KLIPPAN</t>
        </is>
      </c>
      <c r="I267" t="n">
        <v>51.8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525-2024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45348</v>
      </c>
      <c r="E268" s="1" t="n">
        <v>46249</v>
      </c>
      <c r="F268" t="inlineStr">
        <is>
          <t>SKÅNE LÄN</t>
        </is>
      </c>
      <c r="G268" t="inlineStr">
        <is>
          <t>KLIPPAN</t>
        </is>
      </c>
      <c r="I268" t="n">
        <v>22.3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1710-2024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45434</v>
      </c>
      <c r="E269" s="1" t="n">
        <v>46249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1713-2024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46249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3796-2024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45558</v>
      </c>
      <c r="E271" s="1" t="n">
        <v>46249</v>
      </c>
      <c r="F271" t="inlineStr">
        <is>
          <t>SKÅNE LÄN</t>
        </is>
      </c>
      <c r="G271" t="inlineStr">
        <is>
          <t>KLIPPAN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3804-2024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46249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46249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29.5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110-2023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46249</v>
      </c>
      <c r="F274" t="inlineStr">
        <is>
          <t>SKÅNE LÄN</t>
        </is>
      </c>
      <c r="G274" t="inlineStr">
        <is>
          <t>KLIPPAN</t>
        </is>
      </c>
      <c r="I274" t="n">
        <v>26.9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4865-2022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44805</v>
      </c>
      <c r="E275" s="1" t="n">
        <v>46249</v>
      </c>
      <c r="F275" t="inlineStr">
        <is>
          <t>SKÅNE LÄN</t>
        </is>
      </c>
      <c r="G275" t="inlineStr">
        <is>
          <t>KLIPPAN</t>
        </is>
      </c>
      <c r="I275" t="n">
        <v>29.1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46249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2225-2023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45109</v>
      </c>
      <c r="E277" s="1" t="n">
        <v>46249</v>
      </c>
      <c r="F277" t="inlineStr">
        <is>
          <t>SKÅNE LÄN</t>
        </is>
      </c>
      <c r="G277" t="inlineStr">
        <is>
          <t>KLIPPAN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5892-2022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44853</v>
      </c>
      <c r="E278" s="1" t="n">
        <v>46249</v>
      </c>
      <c r="F278" t="inlineStr">
        <is>
          <t>SKÅNE LÄN</t>
        </is>
      </c>
      <c r="G278" t="inlineStr">
        <is>
          <t>KLIPPAN</t>
        </is>
      </c>
      <c r="I278" t="n">
        <v>24.6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5986-2022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44859</v>
      </c>
      <c r="E279" s="1" t="n">
        <v>46249</v>
      </c>
      <c r="F279" t="inlineStr">
        <is>
          <t>SKÅNE LÄN</t>
        </is>
      </c>
      <c r="G279" t="inlineStr">
        <is>
          <t>KLIPPAN</t>
        </is>
      </c>
      <c r="I279" t="n">
        <v>19.6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4186-2024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45579</v>
      </c>
      <c r="E280" s="1" t="n">
        <v>46249</v>
      </c>
      <c r="F280" t="inlineStr">
        <is>
          <t>SKÅNE LÄN</t>
        </is>
      </c>
      <c r="G280" t="inlineStr">
        <is>
          <t>KLIPPAN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3806-2024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45558</v>
      </c>
      <c r="E281" s="1" t="n">
        <v>46249</v>
      </c>
      <c r="F281" t="inlineStr">
        <is>
          <t>SKÅNE LÄN</t>
        </is>
      </c>
      <c r="G281" t="inlineStr">
        <is>
          <t>KLIPPAN</t>
        </is>
      </c>
      <c r="H281" t="inlineStr">
        <is>
          <t>Sveaskog</t>
        </is>
      </c>
      <c r="I281" t="n">
        <v>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1606-2025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45798</v>
      </c>
      <c r="E282" s="1" t="n">
        <v>46249</v>
      </c>
      <c r="F282" t="inlineStr">
        <is>
          <t>SKÅNE LÄN</t>
        </is>
      </c>
      <c r="G282" t="inlineStr">
        <is>
          <t>KLIPPAN</t>
        </is>
      </c>
      <c r="I282" t="n">
        <v>11.7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2907-2025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45947</v>
      </c>
      <c r="E283" s="1" t="n">
        <v>46249</v>
      </c>
      <c r="F283" t="inlineStr">
        <is>
          <t>SKÅNE LÄN</t>
        </is>
      </c>
      <c r="G283" t="inlineStr">
        <is>
          <t>KLIPPAN</t>
        </is>
      </c>
      <c r="I283" t="n">
        <v>48.2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83-2026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46034</v>
      </c>
      <c r="E284" s="1" t="n">
        <v>46249</v>
      </c>
      <c r="F284" t="inlineStr">
        <is>
          <t>SKÅNE LÄN</t>
        </is>
      </c>
      <c r="G284" t="inlineStr">
        <is>
          <t>KLIPPAN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166-2026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46044</v>
      </c>
      <c r="E285" s="1" t="n">
        <v>46249</v>
      </c>
      <c r="F285" t="inlineStr">
        <is>
          <t>SKÅNE LÄN</t>
        </is>
      </c>
      <c r="G285" t="inlineStr">
        <is>
          <t>KLIPPAN</t>
        </is>
      </c>
      <c r="H285" t="inlineStr">
        <is>
          <t>Övriga Aktiebolag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2022-2026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46210</v>
      </c>
      <c r="E286" s="1" t="n">
        <v>46249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14.3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2019-2026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46249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20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46249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2026-08-15T08:28:06Z</dcterms:created>
  <dcterms:modified xmlns:dcterms="http://purl.org/dc/terms/" xmlns:xsi="http://www.w3.org/2001/XMLSchema-instance" xsi:type="dcterms:W3CDTF">2026-08-15T08:28:06Z</dcterms:modified>
</cp:coreProperties>
</file>