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45912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45912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45912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45912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45912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45912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45912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45912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45912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45912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45912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23403-2024</t>
        </is>
      </c>
      <c r="B13" s="1" t="n">
        <v>45453</v>
      </c>
      <c r="C13" s="1" t="n">
        <v>45912</v>
      </c>
      <c r="D13" t="inlineStr">
        <is>
          <t>SKÅNE LÄN</t>
        </is>
      </c>
      <c r="E13" t="inlineStr">
        <is>
          <t>KLIPPAN</t>
        </is>
      </c>
      <c r="G13" t="n">
        <v>9.1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HYPERLINK("https://klasma.github.io/Logging_1276/artfynd/A 23403-2024 artfynd.xlsx", "A 23403-2024")</f>
        <v/>
      </c>
      <c r="T13">
        <f>HYPERLINK("https://klasma.github.io/Logging_1276/kartor/A 23403-2024 karta.png", "A 23403-2024")</f>
        <v/>
      </c>
      <c r="V13">
        <f>HYPERLINK("https://klasma.github.io/Logging_1276/klagomål/A 23403-2024 FSC-klagomål.docx", "A 23403-2024")</f>
        <v/>
      </c>
      <c r="W13">
        <f>HYPERLINK("https://klasma.github.io/Logging_1276/klagomålsmail/A 23403-2024 FSC-klagomål mail.docx", "A 23403-2024")</f>
        <v/>
      </c>
      <c r="X13">
        <f>HYPERLINK("https://klasma.github.io/Logging_1276/tillsyn/A 23403-2024 tillsynsbegäran.docx", "A 23403-2024")</f>
        <v/>
      </c>
      <c r="Y13">
        <f>HYPERLINK("https://klasma.github.io/Logging_1276/tillsynsmail/A 23403-2024 tillsynsbegäran mail.docx", "A 23403-2024")</f>
        <v/>
      </c>
    </row>
    <row r="14" ht="15" customHeight="1">
      <c r="A14" t="inlineStr">
        <is>
          <t>A 30721-2021</t>
        </is>
      </c>
      <c r="B14" s="1" t="n">
        <v>44365</v>
      </c>
      <c r="C14" s="1" t="n">
        <v>45912</v>
      </c>
      <c r="D14" t="inlineStr">
        <is>
          <t>SKÅNE LÄN</t>
        </is>
      </c>
      <c r="E14" t="inlineStr">
        <is>
          <t>KLIPPAN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HYPERLINK("https://klasma.github.io/Logging_1276/artfynd/A 30721-2021 artfynd.xlsx", "A 30721-2021")</f>
        <v/>
      </c>
      <c r="T14">
        <f>HYPERLINK("https://klasma.github.io/Logging_1276/kartor/A 30721-2021 karta.png", "A 30721-2021")</f>
        <v/>
      </c>
      <c r="V14">
        <f>HYPERLINK("https://klasma.github.io/Logging_1276/klagomål/A 30721-2021 FSC-klagomål.docx", "A 30721-2021")</f>
        <v/>
      </c>
      <c r="W14">
        <f>HYPERLINK("https://klasma.github.io/Logging_1276/klagomålsmail/A 30721-2021 FSC-klagomål mail.docx", "A 30721-2021")</f>
        <v/>
      </c>
      <c r="X14">
        <f>HYPERLINK("https://klasma.github.io/Logging_1276/tillsyn/A 30721-2021 tillsynsbegäran.docx", "A 30721-2021")</f>
        <v/>
      </c>
      <c r="Y14">
        <f>HYPERLINK("https://klasma.github.io/Logging_1276/tillsynsmail/A 30721-2021 tillsynsbegäran mail.docx", "A 30721-2021")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45912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45912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45912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45912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45912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45912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45912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45912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45912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45912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45912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45912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45912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45912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45912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45912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45912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45912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45912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45912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9046-2021</t>
        </is>
      </c>
      <c r="B35" s="1" t="n">
        <v>44246</v>
      </c>
      <c r="C35" s="1" t="n">
        <v>45912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40238-2021</t>
        </is>
      </c>
      <c r="B36" s="1" t="n">
        <v>44418</v>
      </c>
      <c r="C36" s="1" t="n">
        <v>45912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50357-2021</t>
        </is>
      </c>
      <c r="B37" s="1" t="n">
        <v>44455</v>
      </c>
      <c r="C37" s="1" t="n">
        <v>45912</v>
      </c>
      <c r="D37" t="inlineStr">
        <is>
          <t>SKÅNE LÄN</t>
        </is>
      </c>
      <c r="E37" t="inlineStr">
        <is>
          <t>KLIPPAN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9535-2021</t>
        </is>
      </c>
      <c r="B38" s="1" t="n">
        <v>44251</v>
      </c>
      <c r="C38" s="1" t="n">
        <v>45912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32455-2022</t>
        </is>
      </c>
      <c r="B39" s="1" t="n">
        <v>44782.541875</v>
      </c>
      <c r="C39" s="1" t="n">
        <v>45912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45912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8680-2021</t>
        </is>
      </c>
      <c r="B41" s="1" t="n">
        <v>44245</v>
      </c>
      <c r="C41" s="1" t="n">
        <v>45912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41268-2022</t>
        </is>
      </c>
      <c r="B42" s="1" t="n">
        <v>44825</v>
      </c>
      <c r="C42" s="1" t="n">
        <v>45912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58370-2020</t>
        </is>
      </c>
      <c r="B43" s="1" t="n">
        <v>44144</v>
      </c>
      <c r="C43" s="1" t="n">
        <v>45912</v>
      </c>
      <c r="D43" t="inlineStr">
        <is>
          <t>SKÅNE LÄN</t>
        </is>
      </c>
      <c r="E43" t="inlineStr">
        <is>
          <t>KLIPPAN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55415-2022</t>
        </is>
      </c>
      <c r="B44" s="1" t="n">
        <v>44882</v>
      </c>
      <c r="C44" s="1" t="n">
        <v>45912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51052-2020</t>
        </is>
      </c>
      <c r="B45" s="1" t="n">
        <v>44112</v>
      </c>
      <c r="C45" s="1" t="n">
        <v>45912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61038-2020</t>
        </is>
      </c>
      <c r="B46" s="1" t="n">
        <v>44154</v>
      </c>
      <c r="C46" s="1" t="n">
        <v>45912</v>
      </c>
      <c r="D46" t="inlineStr">
        <is>
          <t>SKÅNE LÄN</t>
        </is>
      </c>
      <c r="E46" t="inlineStr">
        <is>
          <t>KLIPPAN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46692-2021</t>
        </is>
      </c>
      <c r="B47" s="1" t="n">
        <v>44445</v>
      </c>
      <c r="C47" s="1" t="n">
        <v>45912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20690-2022</t>
        </is>
      </c>
      <c r="B48" s="1" t="n">
        <v>44700</v>
      </c>
      <c r="C48" s="1" t="n">
        <v>45912</v>
      </c>
      <c r="D48" t="inlineStr">
        <is>
          <t>SKÅNE LÄN</t>
        </is>
      </c>
      <c r="E48" t="inlineStr">
        <is>
          <t>KLIPPAN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7839-2022</t>
        </is>
      </c>
      <c r="B49" s="1" t="n">
        <v>44608</v>
      </c>
      <c r="C49" s="1" t="n">
        <v>45912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45912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39056-2022</t>
        </is>
      </c>
      <c r="B51" s="1" t="n">
        <v>44816</v>
      </c>
      <c r="C51" s="1" t="n">
        <v>45912</v>
      </c>
      <c r="D51" t="inlineStr">
        <is>
          <t>SKÅNE LÄN</t>
        </is>
      </c>
      <c r="E51" t="inlineStr">
        <is>
          <t>KLIPPAN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45912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23190-2021</t>
        </is>
      </c>
      <c r="B53" s="1" t="n">
        <v>44333.34033564815</v>
      </c>
      <c r="C53" s="1" t="n">
        <v>45912</v>
      </c>
      <c r="D53" t="inlineStr">
        <is>
          <t>SKÅNE LÄN</t>
        </is>
      </c>
      <c r="E53" t="inlineStr">
        <is>
          <t>KLIPPAN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41272-2022</t>
        </is>
      </c>
      <c r="B54" s="1" t="n">
        <v>44825</v>
      </c>
      <c r="C54" s="1" t="n">
        <v>45912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45912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45912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3198-2023</t>
        </is>
      </c>
      <c r="B57" s="1" t="n">
        <v>44944</v>
      </c>
      <c r="C57" s="1" t="n">
        <v>45912</v>
      </c>
      <c r="D57" t="inlineStr">
        <is>
          <t>SKÅNE LÄN</t>
        </is>
      </c>
      <c r="E57" t="inlineStr">
        <is>
          <t>KLIPPAN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34051-2024</t>
        </is>
      </c>
      <c r="B58" s="1" t="n">
        <v>45523</v>
      </c>
      <c r="C58" s="1" t="n">
        <v>45912</v>
      </c>
      <c r="D58" t="inlineStr">
        <is>
          <t>SKÅNE LÄN</t>
        </is>
      </c>
      <c r="E58" t="inlineStr">
        <is>
          <t>KLIPPAN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16399-2025</t>
        </is>
      </c>
      <c r="B59" s="1" t="n">
        <v>45751</v>
      </c>
      <c r="C59" s="1" t="n">
        <v>45912</v>
      </c>
      <c r="D59" t="inlineStr">
        <is>
          <t>SKÅNE LÄN</t>
        </is>
      </c>
      <c r="E59" t="inlineStr">
        <is>
          <t>KLIPPAN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53868-2022</t>
        </is>
      </c>
      <c r="B60" s="1" t="n">
        <v>44880.64693287037</v>
      </c>
      <c r="C60" s="1" t="n">
        <v>45912</v>
      </c>
      <c r="D60" t="inlineStr">
        <is>
          <t>SKÅNE LÄN</t>
        </is>
      </c>
      <c r="E60" t="inlineStr">
        <is>
          <t>KLIPPAN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23260-2023</t>
        </is>
      </c>
      <c r="B61" s="1" t="n">
        <v>45075.87199074074</v>
      </c>
      <c r="C61" s="1" t="n">
        <v>45912</v>
      </c>
      <c r="D61" t="inlineStr">
        <is>
          <t>SKÅNE LÄN</t>
        </is>
      </c>
      <c r="E61" t="inlineStr">
        <is>
          <t>KLIPPAN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25393-2023</t>
        </is>
      </c>
      <c r="B62" s="1" t="n">
        <v>45079</v>
      </c>
      <c r="C62" s="1" t="n">
        <v>45912</v>
      </c>
      <c r="D62" t="inlineStr">
        <is>
          <t>SKÅNE LÄN</t>
        </is>
      </c>
      <c r="E62" t="inlineStr">
        <is>
          <t>KLIPPAN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51276-2024</t>
        </is>
      </c>
      <c r="B63" s="1" t="n">
        <v>45603</v>
      </c>
      <c r="C63" s="1" t="n">
        <v>45912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55586-2021</t>
        </is>
      </c>
      <c r="B64" s="1" t="n">
        <v>44475.88427083333</v>
      </c>
      <c r="C64" s="1" t="n">
        <v>45912</v>
      </c>
      <c r="D64" t="inlineStr">
        <is>
          <t>SKÅNE LÄN</t>
        </is>
      </c>
      <c r="E64" t="inlineStr">
        <is>
          <t>KLIPPAN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17792-2021</t>
        </is>
      </c>
      <c r="B65" s="1" t="n">
        <v>44300</v>
      </c>
      <c r="C65" s="1" t="n">
        <v>45912</v>
      </c>
      <c r="D65" t="inlineStr">
        <is>
          <t>SKÅNE LÄN</t>
        </is>
      </c>
      <c r="E65" t="inlineStr">
        <is>
          <t>KLIPPAN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15810-2024</t>
        </is>
      </c>
      <c r="B66" s="1" t="n">
        <v>45404</v>
      </c>
      <c r="C66" s="1" t="n">
        <v>45912</v>
      </c>
      <c r="D66" t="inlineStr">
        <is>
          <t>SKÅNE LÄN</t>
        </is>
      </c>
      <c r="E66" t="inlineStr">
        <is>
          <t>KLIPPAN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11105-2021</t>
        </is>
      </c>
      <c r="B67" s="1" t="n">
        <v>44259</v>
      </c>
      <c r="C67" s="1" t="n">
        <v>45912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243-2025</t>
        </is>
      </c>
      <c r="B68" s="1" t="n">
        <v>45660</v>
      </c>
      <c r="C68" s="1" t="n">
        <v>45912</v>
      </c>
      <c r="D68" t="inlineStr">
        <is>
          <t>SKÅNE LÄN</t>
        </is>
      </c>
      <c r="E68" t="inlineStr">
        <is>
          <t>KLIPPAN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14620-2025</t>
        </is>
      </c>
      <c r="B69" s="1" t="n">
        <v>45742.41289351852</v>
      </c>
      <c r="C69" s="1" t="n">
        <v>45912</v>
      </c>
      <c r="D69" t="inlineStr">
        <is>
          <t>SKÅNE LÄN</t>
        </is>
      </c>
      <c r="E69" t="inlineStr">
        <is>
          <t>KLIPPAN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19097-2025</t>
        </is>
      </c>
      <c r="B70" s="1" t="n">
        <v>45767.68126157407</v>
      </c>
      <c r="C70" s="1" t="n">
        <v>45912</v>
      </c>
      <c r="D70" t="inlineStr">
        <is>
          <t>SKÅNE LÄN</t>
        </is>
      </c>
      <c r="E70" t="inlineStr">
        <is>
          <t>KLIPPAN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40173-2024</t>
        </is>
      </c>
      <c r="B71" s="1" t="n">
        <v>45554.55435185185</v>
      </c>
      <c r="C71" s="1" t="n">
        <v>45912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7746-2024</t>
        </is>
      </c>
      <c r="B72" s="1" t="n">
        <v>45349</v>
      </c>
      <c r="C72" s="1" t="n">
        <v>45912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10695-2023</t>
        </is>
      </c>
      <c r="B73" s="1" t="n">
        <v>44988</v>
      </c>
      <c r="C73" s="1" t="n">
        <v>45912</v>
      </c>
      <c r="D73" t="inlineStr">
        <is>
          <t>SKÅNE LÄN</t>
        </is>
      </c>
      <c r="E73" t="inlineStr">
        <is>
          <t>KLIPPAN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37967-2024</t>
        </is>
      </c>
      <c r="B74" s="1" t="n">
        <v>45544.55668981482</v>
      </c>
      <c r="C74" s="1" t="n">
        <v>45912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44885-2022</t>
        </is>
      </c>
      <c r="B75" s="1" t="n">
        <v>44841</v>
      </c>
      <c r="C75" s="1" t="n">
        <v>45912</v>
      </c>
      <c r="D75" t="inlineStr">
        <is>
          <t>SKÅNE LÄN</t>
        </is>
      </c>
      <c r="E75" t="inlineStr">
        <is>
          <t>KLIPPAN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28844-2023</t>
        </is>
      </c>
      <c r="B76" s="1" t="n">
        <v>45104</v>
      </c>
      <c r="C76" s="1" t="n">
        <v>45912</v>
      </c>
      <c r="D76" t="inlineStr">
        <is>
          <t>SKÅNE LÄN</t>
        </is>
      </c>
      <c r="E76" t="inlineStr">
        <is>
          <t>KLIPPAN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22540-2025</t>
        </is>
      </c>
      <c r="B77" s="1" t="n">
        <v>45788.30451388889</v>
      </c>
      <c r="C77" s="1" t="n">
        <v>45912</v>
      </c>
      <c r="D77" t="inlineStr">
        <is>
          <t>SKÅNE LÄN</t>
        </is>
      </c>
      <c r="E77" t="inlineStr">
        <is>
          <t>KLIPPAN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14614-2023</t>
        </is>
      </c>
      <c r="B78" s="1" t="n">
        <v>45013</v>
      </c>
      <c r="C78" s="1" t="n">
        <v>45912</v>
      </c>
      <c r="D78" t="inlineStr">
        <is>
          <t>SKÅNE LÄN</t>
        </is>
      </c>
      <c r="E78" t="inlineStr">
        <is>
          <t>KLIPPAN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55613-2022</t>
        </is>
      </c>
      <c r="B79" s="1" t="n">
        <v>44883</v>
      </c>
      <c r="C79" s="1" t="n">
        <v>45912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36606-2024</t>
        </is>
      </c>
      <c r="B80" s="1" t="n">
        <v>45537.56913194444</v>
      </c>
      <c r="C80" s="1" t="n">
        <v>45912</v>
      </c>
      <c r="D80" t="inlineStr">
        <is>
          <t>SKÅNE LÄN</t>
        </is>
      </c>
      <c r="E80" t="inlineStr">
        <is>
          <t>KLIPPAN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593-2023</t>
        </is>
      </c>
      <c r="B81" s="1" t="n">
        <v>44930.55528935185</v>
      </c>
      <c r="C81" s="1" t="n">
        <v>45912</v>
      </c>
      <c r="D81" t="inlineStr">
        <is>
          <t>SKÅNE LÄN</t>
        </is>
      </c>
      <c r="E81" t="inlineStr">
        <is>
          <t>KLIPPAN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33331-2024</t>
        </is>
      </c>
      <c r="B82" s="1" t="n">
        <v>45519</v>
      </c>
      <c r="C82" s="1" t="n">
        <v>45912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4623-2024</t>
        </is>
      </c>
      <c r="B83" s="1" t="n">
        <v>45328</v>
      </c>
      <c r="C83" s="1" t="n">
        <v>45912</v>
      </c>
      <c r="D83" t="inlineStr">
        <is>
          <t>SKÅNE LÄN</t>
        </is>
      </c>
      <c r="E83" t="inlineStr">
        <is>
          <t>KLIPPAN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8017-2022</t>
        </is>
      </c>
      <c r="B84" s="1" t="n">
        <v>44609.39615740741</v>
      </c>
      <c r="C84" s="1" t="n">
        <v>45912</v>
      </c>
      <c r="D84" t="inlineStr">
        <is>
          <t>SKÅNE LÄN</t>
        </is>
      </c>
      <c r="E84" t="inlineStr">
        <is>
          <t>KLIPPAN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24217-2025</t>
        </is>
      </c>
      <c r="B85" s="1" t="n">
        <v>45797.35565972222</v>
      </c>
      <c r="C85" s="1" t="n">
        <v>45912</v>
      </c>
      <c r="D85" t="inlineStr">
        <is>
          <t>SKÅNE LÄN</t>
        </is>
      </c>
      <c r="E85" t="inlineStr">
        <is>
          <t>KLIPPAN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15070-2024</t>
        </is>
      </c>
      <c r="B86" s="1" t="n">
        <v>45399.59040509259</v>
      </c>
      <c r="C86" s="1" t="n">
        <v>45912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30725-2021</t>
        </is>
      </c>
      <c r="B87" s="1" t="n">
        <v>44365.44506944445</v>
      </c>
      <c r="C87" s="1" t="n">
        <v>45912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217-2023</t>
        </is>
      </c>
      <c r="B88" s="1" t="n">
        <v>44928</v>
      </c>
      <c r="C88" s="1" t="n">
        <v>45912</v>
      </c>
      <c r="D88" t="inlineStr">
        <is>
          <t>SKÅNE LÄN</t>
        </is>
      </c>
      <c r="E88" t="inlineStr">
        <is>
          <t>KLIPPAN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38724-2023</t>
        </is>
      </c>
      <c r="B89" s="1" t="n">
        <v>45163</v>
      </c>
      <c r="C89" s="1" t="n">
        <v>45912</v>
      </c>
      <c r="D89" t="inlineStr">
        <is>
          <t>SKÅNE LÄN</t>
        </is>
      </c>
      <c r="E89" t="inlineStr">
        <is>
          <t>KLIPPAN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58642-2021</t>
        </is>
      </c>
      <c r="B90" s="1" t="n">
        <v>44489.36314814815</v>
      </c>
      <c r="C90" s="1" t="n">
        <v>45912</v>
      </c>
      <c r="D90" t="inlineStr">
        <is>
          <t>SKÅNE LÄN</t>
        </is>
      </c>
      <c r="E90" t="inlineStr">
        <is>
          <t>KLIPPAN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13995-2025</t>
        </is>
      </c>
      <c r="B91" s="1" t="n">
        <v>45739.74271990741</v>
      </c>
      <c r="C91" s="1" t="n">
        <v>45912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5256-2022</t>
        </is>
      </c>
      <c r="B92" s="1" t="n">
        <v>44593</v>
      </c>
      <c r="C92" s="1" t="n">
        <v>45912</v>
      </c>
      <c r="D92" t="inlineStr">
        <is>
          <t>SKÅNE LÄN</t>
        </is>
      </c>
      <c r="E92" t="inlineStr">
        <is>
          <t>KLIPPAN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24818-2025</t>
        </is>
      </c>
      <c r="B93" s="1" t="n">
        <v>45799.45090277777</v>
      </c>
      <c r="C93" s="1" t="n">
        <v>45912</v>
      </c>
      <c r="D93" t="inlineStr">
        <is>
          <t>SKÅNE LÄN</t>
        </is>
      </c>
      <c r="E93" t="inlineStr">
        <is>
          <t>KLIPPAN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42275-2024</t>
        </is>
      </c>
      <c r="B94" s="1" t="n">
        <v>45562.60690972222</v>
      </c>
      <c r="C94" s="1" t="n">
        <v>45912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42303-2024</t>
        </is>
      </c>
      <c r="B95" s="1" t="n">
        <v>45562.6322337963</v>
      </c>
      <c r="C95" s="1" t="n">
        <v>45912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24813-2025</t>
        </is>
      </c>
      <c r="B96" s="1" t="n">
        <v>45799.44813657407</v>
      </c>
      <c r="C96" s="1" t="n">
        <v>45912</v>
      </c>
      <c r="D96" t="inlineStr">
        <is>
          <t>SKÅNE LÄN</t>
        </is>
      </c>
      <c r="E96" t="inlineStr">
        <is>
          <t>KLIPPAN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24815-2025</t>
        </is>
      </c>
      <c r="B97" s="1" t="n">
        <v>45799.44935185185</v>
      </c>
      <c r="C97" s="1" t="n">
        <v>45912</v>
      </c>
      <c r="D97" t="inlineStr">
        <is>
          <t>SKÅNE LÄN</t>
        </is>
      </c>
      <c r="E97" t="inlineStr">
        <is>
          <t>KLIPPAN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44228-2024</t>
        </is>
      </c>
      <c r="B98" s="1" t="n">
        <v>45573</v>
      </c>
      <c r="C98" s="1" t="n">
        <v>45912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49989-2024</t>
        </is>
      </c>
      <c r="B99" s="1" t="n">
        <v>45597</v>
      </c>
      <c r="C99" s="1" t="n">
        <v>45912</v>
      </c>
      <c r="D99" t="inlineStr">
        <is>
          <t>SKÅNE LÄN</t>
        </is>
      </c>
      <c r="E99" t="inlineStr">
        <is>
          <t>KLIPPAN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24034-2023</t>
        </is>
      </c>
      <c r="B100" s="1" t="n">
        <v>45078.86898148148</v>
      </c>
      <c r="C100" s="1" t="n">
        <v>45912</v>
      </c>
      <c r="D100" t="inlineStr">
        <is>
          <t>SKÅNE LÄN</t>
        </is>
      </c>
      <c r="E100" t="inlineStr">
        <is>
          <t>KLIPPAN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5196-2022</t>
        </is>
      </c>
      <c r="B101" s="1" t="n">
        <v>44593</v>
      </c>
      <c r="C101" s="1" t="n">
        <v>45912</v>
      </c>
      <c r="D101" t="inlineStr">
        <is>
          <t>SKÅNE LÄN</t>
        </is>
      </c>
      <c r="E101" t="inlineStr">
        <is>
          <t>KLIPPAN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69394-2021</t>
        </is>
      </c>
      <c r="B102" s="1" t="n">
        <v>44531</v>
      </c>
      <c r="C102" s="1" t="n">
        <v>45912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25069-2023</t>
        </is>
      </c>
      <c r="B103" s="1" t="n">
        <v>45086</v>
      </c>
      <c r="C103" s="1" t="n">
        <v>45912</v>
      </c>
      <c r="D103" t="inlineStr">
        <is>
          <t>SKÅNE LÄN</t>
        </is>
      </c>
      <c r="E103" t="inlineStr">
        <is>
          <t>KLIPPAN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9999-2025</t>
        </is>
      </c>
      <c r="B104" s="1" t="n">
        <v>45719.44790509259</v>
      </c>
      <c r="C104" s="1" t="n">
        <v>45912</v>
      </c>
      <c r="D104" t="inlineStr">
        <is>
          <t>SKÅNE LÄN</t>
        </is>
      </c>
      <c r="E104" t="inlineStr">
        <is>
          <t>KLIPPAN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52838-2024</t>
        </is>
      </c>
      <c r="B105" s="1" t="n">
        <v>45610</v>
      </c>
      <c r="C105" s="1" t="n">
        <v>45912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18520-2021</t>
        </is>
      </c>
      <c r="B106" s="1" t="n">
        <v>44305</v>
      </c>
      <c r="C106" s="1" t="n">
        <v>45912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45641-2022</t>
        </is>
      </c>
      <c r="B107" s="1" t="n">
        <v>44845</v>
      </c>
      <c r="C107" s="1" t="n">
        <v>45912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21636-2024</t>
        </is>
      </c>
      <c r="B108" s="1" t="n">
        <v>45442</v>
      </c>
      <c r="C108" s="1" t="n">
        <v>45912</v>
      </c>
      <c r="D108" t="inlineStr">
        <is>
          <t>SKÅNE LÄN</t>
        </is>
      </c>
      <c r="E108" t="inlineStr">
        <is>
          <t>KLIPPAN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18214-2023</t>
        </is>
      </c>
      <c r="B109" s="1" t="n">
        <v>45040</v>
      </c>
      <c r="C109" s="1" t="n">
        <v>45912</v>
      </c>
      <c r="D109" t="inlineStr">
        <is>
          <t>SKÅNE LÄN</t>
        </is>
      </c>
      <c r="E109" t="inlineStr">
        <is>
          <t>KLIPPAN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60783-2023</t>
        </is>
      </c>
      <c r="B110" s="1" t="n">
        <v>45260.6441087963</v>
      </c>
      <c r="C110" s="1" t="n">
        <v>45912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14619-2023</t>
        </is>
      </c>
      <c r="B111" s="1" t="n">
        <v>45013</v>
      </c>
      <c r="C111" s="1" t="n">
        <v>45912</v>
      </c>
      <c r="D111" t="inlineStr">
        <is>
          <t>SKÅNE LÄN</t>
        </is>
      </c>
      <c r="E111" t="inlineStr">
        <is>
          <t>KLIPPAN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60791-2023</t>
        </is>
      </c>
      <c r="B112" s="1" t="n">
        <v>45260.65283564815</v>
      </c>
      <c r="C112" s="1" t="n">
        <v>45912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27454-2024</t>
        </is>
      </c>
      <c r="B113" s="1" t="n">
        <v>45474</v>
      </c>
      <c r="C113" s="1" t="n">
        <v>45912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11335-2023</t>
        </is>
      </c>
      <c r="B114" s="1" t="n">
        <v>44993</v>
      </c>
      <c r="C114" s="1" t="n">
        <v>45912</v>
      </c>
      <c r="D114" t="inlineStr">
        <is>
          <t>SKÅNE LÄN</t>
        </is>
      </c>
      <c r="E114" t="inlineStr">
        <is>
          <t>KLIPPAN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13363-2023</t>
        </is>
      </c>
      <c r="B115" s="1" t="n">
        <v>45005</v>
      </c>
      <c r="C115" s="1" t="n">
        <v>45912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5151-2022</t>
        </is>
      </c>
      <c r="B116" s="1" t="n">
        <v>44593</v>
      </c>
      <c r="C116" s="1" t="n">
        <v>45912</v>
      </c>
      <c r="D116" t="inlineStr">
        <is>
          <t>SKÅNE LÄN</t>
        </is>
      </c>
      <c r="E116" t="inlineStr">
        <is>
          <t>KLIPPAN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27898-2025</t>
        </is>
      </c>
      <c r="B117" s="1" t="n">
        <v>45817</v>
      </c>
      <c r="C117" s="1" t="n">
        <v>45912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59482-2024</t>
        </is>
      </c>
      <c r="B118" s="1" t="n">
        <v>45638.52831018518</v>
      </c>
      <c r="C118" s="1" t="n">
        <v>45912</v>
      </c>
      <c r="D118" t="inlineStr">
        <is>
          <t>SKÅNE LÄN</t>
        </is>
      </c>
      <c r="E118" t="inlineStr">
        <is>
          <t>KLIPPAN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27010-2023</t>
        </is>
      </c>
      <c r="B119" s="1" t="n">
        <v>45094.36791666667</v>
      </c>
      <c r="C119" s="1" t="n">
        <v>45912</v>
      </c>
      <c r="D119" t="inlineStr">
        <is>
          <t>SKÅNE LÄN</t>
        </is>
      </c>
      <c r="E119" t="inlineStr">
        <is>
          <t>KLIPPAN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10544-2025</t>
        </is>
      </c>
      <c r="B120" s="1" t="n">
        <v>45721.48859953704</v>
      </c>
      <c r="C120" s="1" t="n">
        <v>45912</v>
      </c>
      <c r="D120" t="inlineStr">
        <is>
          <t>SKÅNE LÄN</t>
        </is>
      </c>
      <c r="E120" t="inlineStr">
        <is>
          <t>KLIPPAN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2262-2025</t>
        </is>
      </c>
      <c r="B121" s="1" t="n">
        <v>45673</v>
      </c>
      <c r="C121" s="1" t="n">
        <v>45912</v>
      </c>
      <c r="D121" t="inlineStr">
        <is>
          <t>SKÅNE LÄN</t>
        </is>
      </c>
      <c r="E121" t="inlineStr">
        <is>
          <t>KLIPPAN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23741-2023</t>
        </is>
      </c>
      <c r="B122" s="1" t="n">
        <v>45077.77087962963</v>
      </c>
      <c r="C122" s="1" t="n">
        <v>45912</v>
      </c>
      <c r="D122" t="inlineStr">
        <is>
          <t>SKÅNE LÄN</t>
        </is>
      </c>
      <c r="E122" t="inlineStr">
        <is>
          <t>KLIPPAN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23681-2023</t>
        </is>
      </c>
      <c r="B123" s="1" t="n">
        <v>45077</v>
      </c>
      <c r="C123" s="1" t="n">
        <v>45912</v>
      </c>
      <c r="D123" t="inlineStr">
        <is>
          <t>SKÅNE LÄN</t>
        </is>
      </c>
      <c r="E123" t="inlineStr">
        <is>
          <t>KLIPPAN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4324-2024</t>
        </is>
      </c>
      <c r="B124" s="1" t="n">
        <v>45324.67409722223</v>
      </c>
      <c r="C124" s="1" t="n">
        <v>45912</v>
      </c>
      <c r="D124" t="inlineStr">
        <is>
          <t>SKÅNE LÄN</t>
        </is>
      </c>
      <c r="E124" t="inlineStr">
        <is>
          <t>KLIPPAN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28490-2023</t>
        </is>
      </c>
      <c r="B125" s="1" t="n">
        <v>45103.44039351852</v>
      </c>
      <c r="C125" s="1" t="n">
        <v>45912</v>
      </c>
      <c r="D125" t="inlineStr">
        <is>
          <t>SKÅNE LÄN</t>
        </is>
      </c>
      <c r="E125" t="inlineStr">
        <is>
          <t>KLIPPAN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44891-2022</t>
        </is>
      </c>
      <c r="B126" s="1" t="n">
        <v>44841</v>
      </c>
      <c r="C126" s="1" t="n">
        <v>45912</v>
      </c>
      <c r="D126" t="inlineStr">
        <is>
          <t>SKÅNE LÄN</t>
        </is>
      </c>
      <c r="E126" t="inlineStr">
        <is>
          <t>KLIPPAN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51046-2020</t>
        </is>
      </c>
      <c r="B127" s="1" t="n">
        <v>44112</v>
      </c>
      <c r="C127" s="1" t="n">
        <v>45912</v>
      </c>
      <c r="D127" t="inlineStr">
        <is>
          <t>SKÅNE LÄN</t>
        </is>
      </c>
      <c r="E127" t="inlineStr">
        <is>
          <t>KLIPPAN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46147-2022</t>
        </is>
      </c>
      <c r="B128" s="1" t="n">
        <v>44846</v>
      </c>
      <c r="C128" s="1" t="n">
        <v>45912</v>
      </c>
      <c r="D128" t="inlineStr">
        <is>
          <t>SKÅNE LÄN</t>
        </is>
      </c>
      <c r="E128" t="inlineStr">
        <is>
          <t>KLIPPAN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17856-2024</t>
        </is>
      </c>
      <c r="B129" s="1" t="n">
        <v>45419</v>
      </c>
      <c r="C129" s="1" t="n">
        <v>45912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47870-2022</t>
        </is>
      </c>
      <c r="B130" s="1" t="n">
        <v>44855.43302083333</v>
      </c>
      <c r="C130" s="1" t="n">
        <v>45912</v>
      </c>
      <c r="D130" t="inlineStr">
        <is>
          <t>SKÅNE LÄN</t>
        </is>
      </c>
      <c r="E130" t="inlineStr">
        <is>
          <t>KLIPPAN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52851-2024</t>
        </is>
      </c>
      <c r="B131" s="1" t="n">
        <v>45610</v>
      </c>
      <c r="C131" s="1" t="n">
        <v>45912</v>
      </c>
      <c r="D131" t="inlineStr">
        <is>
          <t>SKÅNE LÄN</t>
        </is>
      </c>
      <c r="E131" t="inlineStr">
        <is>
          <t>KLIPPAN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52867-2024</t>
        </is>
      </c>
      <c r="B132" s="1" t="n">
        <v>45610</v>
      </c>
      <c r="C132" s="1" t="n">
        <v>45912</v>
      </c>
      <c r="D132" t="inlineStr">
        <is>
          <t>SKÅNE LÄN</t>
        </is>
      </c>
      <c r="E132" t="inlineStr">
        <is>
          <t>KLIPPAN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7515-2025</t>
        </is>
      </c>
      <c r="B133" s="1" t="n">
        <v>45702</v>
      </c>
      <c r="C133" s="1" t="n">
        <v>45912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13994-2025</t>
        </is>
      </c>
      <c r="B134" s="1" t="n">
        <v>45739.73532407408</v>
      </c>
      <c r="C134" s="1" t="n">
        <v>45912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63082-2020</t>
        </is>
      </c>
      <c r="B135" s="1" t="n">
        <v>44162</v>
      </c>
      <c r="C135" s="1" t="n">
        <v>45912</v>
      </c>
      <c r="D135" t="inlineStr">
        <is>
          <t>SKÅNE LÄN</t>
        </is>
      </c>
      <c r="E135" t="inlineStr">
        <is>
          <t>KLIPPAN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27813-2023</t>
        </is>
      </c>
      <c r="B136" s="1" t="n">
        <v>45098</v>
      </c>
      <c r="C136" s="1" t="n">
        <v>45912</v>
      </c>
      <c r="D136" t="inlineStr">
        <is>
          <t>SKÅNE LÄN</t>
        </is>
      </c>
      <c r="E136" t="inlineStr">
        <is>
          <t>KLIPPAN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58387-2022</t>
        </is>
      </c>
      <c r="B137" s="1" t="n">
        <v>44901</v>
      </c>
      <c r="C137" s="1" t="n">
        <v>45912</v>
      </c>
      <c r="D137" t="inlineStr">
        <is>
          <t>SKÅNE LÄN</t>
        </is>
      </c>
      <c r="E137" t="inlineStr">
        <is>
          <t>KLIPPAN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43855-2022</t>
        </is>
      </c>
      <c r="B138" s="1" t="n">
        <v>44838</v>
      </c>
      <c r="C138" s="1" t="n">
        <v>45912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27452-2024</t>
        </is>
      </c>
      <c r="B139" s="1" t="n">
        <v>45474</v>
      </c>
      <c r="C139" s="1" t="n">
        <v>45912</v>
      </c>
      <c r="D139" t="inlineStr">
        <is>
          <t>SKÅNE LÄN</t>
        </is>
      </c>
      <c r="E139" t="inlineStr">
        <is>
          <t>KLIPPAN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45596-2024</t>
        </is>
      </c>
      <c r="B140" s="1" t="n">
        <v>45579</v>
      </c>
      <c r="C140" s="1" t="n">
        <v>45912</v>
      </c>
      <c r="D140" t="inlineStr">
        <is>
          <t>SKÅNE LÄN</t>
        </is>
      </c>
      <c r="E140" t="inlineStr">
        <is>
          <t>KLIPPAN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38323-2023</t>
        </is>
      </c>
      <c r="B141" s="1" t="n">
        <v>45161</v>
      </c>
      <c r="C141" s="1" t="n">
        <v>45912</v>
      </c>
      <c r="D141" t="inlineStr">
        <is>
          <t>SKÅNE LÄN</t>
        </is>
      </c>
      <c r="E141" t="inlineStr">
        <is>
          <t>KLIPPAN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38325-2023</t>
        </is>
      </c>
      <c r="B142" s="1" t="n">
        <v>45161</v>
      </c>
      <c r="C142" s="1" t="n">
        <v>45912</v>
      </c>
      <c r="D142" t="inlineStr">
        <is>
          <t>SKÅNE LÄN</t>
        </is>
      </c>
      <c r="E142" t="inlineStr">
        <is>
          <t>KLIPPAN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39238-2022</t>
        </is>
      </c>
      <c r="B143" s="1" t="n">
        <v>44817</v>
      </c>
      <c r="C143" s="1" t="n">
        <v>45912</v>
      </c>
      <c r="D143" t="inlineStr">
        <is>
          <t>SKÅNE LÄN</t>
        </is>
      </c>
      <c r="E143" t="inlineStr">
        <is>
          <t>KLIPPAN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52882-2024</t>
        </is>
      </c>
      <c r="B144" s="1" t="n">
        <v>45610</v>
      </c>
      <c r="C144" s="1" t="n">
        <v>45912</v>
      </c>
      <c r="D144" t="inlineStr">
        <is>
          <t>SKÅNE LÄN</t>
        </is>
      </c>
      <c r="E144" t="inlineStr">
        <is>
          <t>KLIPPAN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29284-2025</t>
        </is>
      </c>
      <c r="B145" s="1" t="n">
        <v>45824</v>
      </c>
      <c r="C145" s="1" t="n">
        <v>45912</v>
      </c>
      <c r="D145" t="inlineStr">
        <is>
          <t>SKÅNE LÄN</t>
        </is>
      </c>
      <c r="E145" t="inlineStr">
        <is>
          <t>KLIPPAN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52871-2024</t>
        </is>
      </c>
      <c r="B146" s="1" t="n">
        <v>45610</v>
      </c>
      <c r="C146" s="1" t="n">
        <v>45912</v>
      </c>
      <c r="D146" t="inlineStr">
        <is>
          <t>SKÅNE LÄN</t>
        </is>
      </c>
      <c r="E146" t="inlineStr">
        <is>
          <t>KLIPPAN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11497-2023</t>
        </is>
      </c>
      <c r="B147" s="1" t="n">
        <v>44991</v>
      </c>
      <c r="C147" s="1" t="n">
        <v>45912</v>
      </c>
      <c r="D147" t="inlineStr">
        <is>
          <t>SKÅNE LÄN</t>
        </is>
      </c>
      <c r="E147" t="inlineStr">
        <is>
          <t>KLIPPAN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46260-2024</t>
        </is>
      </c>
      <c r="B148" s="1" t="n">
        <v>45581</v>
      </c>
      <c r="C148" s="1" t="n">
        <v>45912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21654-2024</t>
        </is>
      </c>
      <c r="B149" s="1" t="n">
        <v>45442</v>
      </c>
      <c r="C149" s="1" t="n">
        <v>45912</v>
      </c>
      <c r="D149" t="inlineStr">
        <is>
          <t>SKÅNE LÄN</t>
        </is>
      </c>
      <c r="E149" t="inlineStr">
        <is>
          <t>KLIPPAN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32132-2025</t>
        </is>
      </c>
      <c r="B150" s="1" t="n">
        <v>45835.50878472222</v>
      </c>
      <c r="C150" s="1" t="n">
        <v>45912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5141-2024</t>
        </is>
      </c>
      <c r="B151" s="1" t="n">
        <v>45330</v>
      </c>
      <c r="C151" s="1" t="n">
        <v>45912</v>
      </c>
      <c r="D151" t="inlineStr">
        <is>
          <t>SKÅNE LÄN</t>
        </is>
      </c>
      <c r="E151" t="inlineStr">
        <is>
          <t>KLIPPAN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39244-2022</t>
        </is>
      </c>
      <c r="B152" s="1" t="n">
        <v>44817.60482638889</v>
      </c>
      <c r="C152" s="1" t="n">
        <v>45912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20717-2023</t>
        </is>
      </c>
      <c r="B153" s="1" t="n">
        <v>45055</v>
      </c>
      <c r="C153" s="1" t="n">
        <v>45912</v>
      </c>
      <c r="D153" t="inlineStr">
        <is>
          <t>SKÅNE LÄN</t>
        </is>
      </c>
      <c r="E153" t="inlineStr">
        <is>
          <t>KLIPPAN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37068-2023</t>
        </is>
      </c>
      <c r="B154" s="1" t="n">
        <v>45155</v>
      </c>
      <c r="C154" s="1" t="n">
        <v>45912</v>
      </c>
      <c r="D154" t="inlineStr">
        <is>
          <t>SKÅNE LÄN</t>
        </is>
      </c>
      <c r="E154" t="inlineStr">
        <is>
          <t>KLIPPAN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40762-2021</t>
        </is>
      </c>
      <c r="B155" s="1" t="n">
        <v>44420</v>
      </c>
      <c r="C155" s="1" t="n">
        <v>45912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48627-2020</t>
        </is>
      </c>
      <c r="B156" s="1" t="n">
        <v>44098</v>
      </c>
      <c r="C156" s="1" t="n">
        <v>45912</v>
      </c>
      <c r="D156" t="inlineStr">
        <is>
          <t>SKÅNE LÄN</t>
        </is>
      </c>
      <c r="E156" t="inlineStr">
        <is>
          <t>KLIPPAN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55588-2021</t>
        </is>
      </c>
      <c r="B157" s="1" t="n">
        <v>44475</v>
      </c>
      <c r="C157" s="1" t="n">
        <v>45912</v>
      </c>
      <c r="D157" t="inlineStr">
        <is>
          <t>SKÅNE LÄN</t>
        </is>
      </c>
      <c r="E157" t="inlineStr">
        <is>
          <t>KLIPPAN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1280-2023</t>
        </is>
      </c>
      <c r="B158" s="1" t="n">
        <v>44936</v>
      </c>
      <c r="C158" s="1" t="n">
        <v>45912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20591-2023</t>
        </is>
      </c>
      <c r="B159" s="1" t="n">
        <v>45055</v>
      </c>
      <c r="C159" s="1" t="n">
        <v>45912</v>
      </c>
      <c r="D159" t="inlineStr">
        <is>
          <t>SKÅNE LÄN</t>
        </is>
      </c>
      <c r="E159" t="inlineStr">
        <is>
          <t>KLIPPAN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8204-2021</t>
        </is>
      </c>
      <c r="B160" s="1" t="n">
        <v>44244</v>
      </c>
      <c r="C160" s="1" t="n">
        <v>45912</v>
      </c>
      <c r="D160" t="inlineStr">
        <is>
          <t>SKÅNE LÄN</t>
        </is>
      </c>
      <c r="E160" t="inlineStr">
        <is>
          <t>KLIPPAN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52877-2022</t>
        </is>
      </c>
      <c r="B161" s="1" t="n">
        <v>44875.53217592592</v>
      </c>
      <c r="C161" s="1" t="n">
        <v>45912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52286-2023</t>
        </is>
      </c>
      <c r="B162" s="1" t="n">
        <v>45224.58796296296</v>
      </c>
      <c r="C162" s="1" t="n">
        <v>45912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31893-2021</t>
        </is>
      </c>
      <c r="B163" s="1" t="n">
        <v>44370.45880787037</v>
      </c>
      <c r="C163" s="1" t="n">
        <v>45912</v>
      </c>
      <c r="D163" t="inlineStr">
        <is>
          <t>SKÅNE LÄN</t>
        </is>
      </c>
      <c r="E163" t="inlineStr">
        <is>
          <t>KLIPPAN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11705-2023</t>
        </is>
      </c>
      <c r="B164" s="1" t="n">
        <v>44992</v>
      </c>
      <c r="C164" s="1" t="n">
        <v>45912</v>
      </c>
      <c r="D164" t="inlineStr">
        <is>
          <t>SKÅNE LÄN</t>
        </is>
      </c>
      <c r="E164" t="inlineStr">
        <is>
          <t>KLIPPAN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33450-2025</t>
        </is>
      </c>
      <c r="B165" s="1" t="n">
        <v>45841.46677083334</v>
      </c>
      <c r="C165" s="1" t="n">
        <v>45912</v>
      </c>
      <c r="D165" t="inlineStr">
        <is>
          <t>SKÅNE LÄN</t>
        </is>
      </c>
      <c r="E165" t="inlineStr">
        <is>
          <t>KLIPPAN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33456-2025</t>
        </is>
      </c>
      <c r="B166" s="1" t="n">
        <v>45841.47364583334</v>
      </c>
      <c r="C166" s="1" t="n">
        <v>45912</v>
      </c>
      <c r="D166" t="inlineStr">
        <is>
          <t>SKÅNE LÄN</t>
        </is>
      </c>
      <c r="E166" t="inlineStr">
        <is>
          <t>KLIPPAN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27538-2021</t>
        </is>
      </c>
      <c r="B167" s="1" t="n">
        <v>44351.67984953704</v>
      </c>
      <c r="C167" s="1" t="n">
        <v>45912</v>
      </c>
      <c r="D167" t="inlineStr">
        <is>
          <t>SKÅNE LÄN</t>
        </is>
      </c>
      <c r="E167" t="inlineStr">
        <is>
          <t>KLIPPAN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46619-2024</t>
        </is>
      </c>
      <c r="B168" s="1" t="n">
        <v>45583.32314814815</v>
      </c>
      <c r="C168" s="1" t="n">
        <v>45912</v>
      </c>
      <c r="D168" t="inlineStr">
        <is>
          <t>SKÅNE LÄN</t>
        </is>
      </c>
      <c r="E168" t="inlineStr">
        <is>
          <t>KLIPPAN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64224-2023</t>
        </is>
      </c>
      <c r="B169" s="1" t="n">
        <v>45279</v>
      </c>
      <c r="C169" s="1" t="n">
        <v>45912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11857-2025</t>
        </is>
      </c>
      <c r="B170" s="1" t="n">
        <v>45728.39798611111</v>
      </c>
      <c r="C170" s="1" t="n">
        <v>45912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24333-2022</t>
        </is>
      </c>
      <c r="B171" s="1" t="n">
        <v>44726.32643518518</v>
      </c>
      <c r="C171" s="1" t="n">
        <v>45912</v>
      </c>
      <c r="D171" t="inlineStr">
        <is>
          <t>SKÅNE LÄN</t>
        </is>
      </c>
      <c r="E171" t="inlineStr">
        <is>
          <t>KLIPPAN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33761-2025</t>
        </is>
      </c>
      <c r="B172" s="1" t="n">
        <v>45842.38335648148</v>
      </c>
      <c r="C172" s="1" t="n">
        <v>45912</v>
      </c>
      <c r="D172" t="inlineStr">
        <is>
          <t>SKÅNE LÄN</t>
        </is>
      </c>
      <c r="E172" t="inlineStr">
        <is>
          <t>KLIPPAN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20002-2022</t>
        </is>
      </c>
      <c r="B173" s="1" t="n">
        <v>44697.62150462963</v>
      </c>
      <c r="C173" s="1" t="n">
        <v>45912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56089-2021</t>
        </is>
      </c>
      <c r="B174" s="1" t="n">
        <v>44477</v>
      </c>
      <c r="C174" s="1" t="n">
        <v>45912</v>
      </c>
      <c r="D174" t="inlineStr">
        <is>
          <t>SKÅNE LÄN</t>
        </is>
      </c>
      <c r="E174" t="inlineStr">
        <is>
          <t>KLIPPAN</t>
        </is>
      </c>
      <c r="G174" t="n">
        <v>20.9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33766-2025</t>
        </is>
      </c>
      <c r="B175" s="1" t="n">
        <v>45842.3869675926</v>
      </c>
      <c r="C175" s="1" t="n">
        <v>45912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47856-2024</t>
        </is>
      </c>
      <c r="B176" s="1" t="n">
        <v>45588.6680324074</v>
      </c>
      <c r="C176" s="1" t="n">
        <v>45912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49686-2023</t>
        </is>
      </c>
      <c r="B177" s="1" t="n">
        <v>45212.36239583333</v>
      </c>
      <c r="C177" s="1" t="n">
        <v>45912</v>
      </c>
      <c r="D177" t="inlineStr">
        <is>
          <t>SKÅNE LÄN</t>
        </is>
      </c>
      <c r="E177" t="inlineStr">
        <is>
          <t>KLIPPAN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68856-2021</t>
        </is>
      </c>
      <c r="B178" s="1" t="n">
        <v>44530</v>
      </c>
      <c r="C178" s="1" t="n">
        <v>45912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54348-2022</t>
        </is>
      </c>
      <c r="B179" s="1" t="n">
        <v>44882</v>
      </c>
      <c r="C179" s="1" t="n">
        <v>45912</v>
      </c>
      <c r="D179" t="inlineStr">
        <is>
          <t>SKÅNE LÄN</t>
        </is>
      </c>
      <c r="E179" t="inlineStr">
        <is>
          <t>KLIPPAN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46835-2023</t>
        </is>
      </c>
      <c r="B180" s="1" t="n">
        <v>45199</v>
      </c>
      <c r="C180" s="1" t="n">
        <v>45912</v>
      </c>
      <c r="D180" t="inlineStr">
        <is>
          <t>SKÅNE LÄN</t>
        </is>
      </c>
      <c r="E180" t="inlineStr">
        <is>
          <t>KLIPPAN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38156-2022</t>
        </is>
      </c>
      <c r="B181" s="1" t="n">
        <v>44812.37135416667</v>
      </c>
      <c r="C181" s="1" t="n">
        <v>45912</v>
      </c>
      <c r="D181" t="inlineStr">
        <is>
          <t>SKÅNE LÄN</t>
        </is>
      </c>
      <c r="E181" t="inlineStr">
        <is>
          <t>KLIPPAN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18516-2021</t>
        </is>
      </c>
      <c r="B182" s="1" t="n">
        <v>44305</v>
      </c>
      <c r="C182" s="1" t="n">
        <v>45912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34472-2025</t>
        </is>
      </c>
      <c r="B183" s="1" t="n">
        <v>45847.35877314815</v>
      </c>
      <c r="C183" s="1" t="n">
        <v>45912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34479-2025</t>
        </is>
      </c>
      <c r="B184" s="1" t="n">
        <v>45847.37570601852</v>
      </c>
      <c r="C184" s="1" t="n">
        <v>45912</v>
      </c>
      <c r="D184" t="inlineStr">
        <is>
          <t>SKÅNE LÄN</t>
        </is>
      </c>
      <c r="E184" t="inlineStr">
        <is>
          <t>KLIPPAN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5557-2022</t>
        </is>
      </c>
      <c r="B185" s="1" t="n">
        <v>44593</v>
      </c>
      <c r="C185" s="1" t="n">
        <v>45912</v>
      </c>
      <c r="D185" t="inlineStr">
        <is>
          <t>SKÅNE LÄN</t>
        </is>
      </c>
      <c r="E185" t="inlineStr">
        <is>
          <t>KLIPPAN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40710-2023</t>
        </is>
      </c>
      <c r="B186" s="1" t="n">
        <v>45170.63194444445</v>
      </c>
      <c r="C186" s="1" t="n">
        <v>45912</v>
      </c>
      <c r="D186" t="inlineStr">
        <is>
          <t>SKÅNE LÄN</t>
        </is>
      </c>
      <c r="E186" t="inlineStr">
        <is>
          <t>KLIPPAN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55833-2023</t>
        </is>
      </c>
      <c r="B187" s="1" t="n">
        <v>45239</v>
      </c>
      <c r="C187" s="1" t="n">
        <v>45912</v>
      </c>
      <c r="D187" t="inlineStr">
        <is>
          <t>SKÅNE LÄN</t>
        </is>
      </c>
      <c r="E187" t="inlineStr">
        <is>
          <t>KLIPPAN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46253-2024</t>
        </is>
      </c>
      <c r="B188" s="1" t="n">
        <v>45581</v>
      </c>
      <c r="C188" s="1" t="n">
        <v>45912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39530-2023</t>
        </is>
      </c>
      <c r="B189" s="1" t="n">
        <v>45167.34055555556</v>
      </c>
      <c r="C189" s="1" t="n">
        <v>45912</v>
      </c>
      <c r="D189" t="inlineStr">
        <is>
          <t>SKÅNE LÄN</t>
        </is>
      </c>
      <c r="E189" t="inlineStr">
        <is>
          <t>KLIPPAN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20128-2023</t>
        </is>
      </c>
      <c r="B190" s="1" t="n">
        <v>45055</v>
      </c>
      <c r="C190" s="1" t="n">
        <v>45912</v>
      </c>
      <c r="D190" t="inlineStr">
        <is>
          <t>SKÅNE LÄN</t>
        </is>
      </c>
      <c r="E190" t="inlineStr">
        <is>
          <t>KLIPPAN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22976-2023</t>
        </is>
      </c>
      <c r="B191" s="1" t="n">
        <v>45072</v>
      </c>
      <c r="C191" s="1" t="n">
        <v>45912</v>
      </c>
      <c r="D191" t="inlineStr">
        <is>
          <t>SKÅNE LÄN</t>
        </is>
      </c>
      <c r="E191" t="inlineStr">
        <is>
          <t>KLIPPAN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2252-2025</t>
        </is>
      </c>
      <c r="B192" s="1" t="n">
        <v>45673</v>
      </c>
      <c r="C192" s="1" t="n">
        <v>45912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2083-2025</t>
        </is>
      </c>
      <c r="B193" s="1" t="n">
        <v>45672.58853009259</v>
      </c>
      <c r="C193" s="1" t="n">
        <v>45912</v>
      </c>
      <c r="D193" t="inlineStr">
        <is>
          <t>SKÅNE LÄN</t>
        </is>
      </c>
      <c r="E193" t="inlineStr">
        <is>
          <t>KLIPPAN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45912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15812-2024</t>
        </is>
      </c>
      <c r="B195" s="1" t="n">
        <v>45404.6669212963</v>
      </c>
      <c r="C195" s="1" t="n">
        <v>45912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61682-2023</t>
        </is>
      </c>
      <c r="B196" s="1" t="n">
        <v>45264</v>
      </c>
      <c r="C196" s="1" t="n">
        <v>45912</v>
      </c>
      <c r="D196" t="inlineStr">
        <is>
          <t>SKÅNE LÄN</t>
        </is>
      </c>
      <c r="E196" t="inlineStr">
        <is>
          <t>KLIPPAN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52653-2020</t>
        </is>
      </c>
      <c r="B197" s="1" t="n">
        <v>44117</v>
      </c>
      <c r="C197" s="1" t="n">
        <v>45912</v>
      </c>
      <c r="D197" t="inlineStr">
        <is>
          <t>SKÅNE LÄN</t>
        </is>
      </c>
      <c r="E197" t="inlineStr">
        <is>
          <t>KLIPPAN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11676-2023</t>
        </is>
      </c>
      <c r="B198" s="1" t="n">
        <v>44992</v>
      </c>
      <c r="C198" s="1" t="n">
        <v>45912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51844-2023</t>
        </is>
      </c>
      <c r="B199" s="1" t="n">
        <v>45223</v>
      </c>
      <c r="C199" s="1" t="n">
        <v>45912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38945-2023</t>
        </is>
      </c>
      <c r="B200" s="1" t="n">
        <v>45163.60909722222</v>
      </c>
      <c r="C200" s="1" t="n">
        <v>45912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55587-2021</t>
        </is>
      </c>
      <c r="B201" s="1" t="n">
        <v>44475</v>
      </c>
      <c r="C201" s="1" t="n">
        <v>45912</v>
      </c>
      <c r="D201" t="inlineStr">
        <is>
          <t>SKÅNE LÄN</t>
        </is>
      </c>
      <c r="E201" t="inlineStr">
        <is>
          <t>KLIPPAN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28847-2023</t>
        </is>
      </c>
      <c r="B202" s="1" t="n">
        <v>45104</v>
      </c>
      <c r="C202" s="1" t="n">
        <v>45912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23874-2022</t>
        </is>
      </c>
      <c r="B203" s="1" t="n">
        <v>44722</v>
      </c>
      <c r="C203" s="1" t="n">
        <v>45912</v>
      </c>
      <c r="D203" t="inlineStr">
        <is>
          <t>SKÅNE LÄN</t>
        </is>
      </c>
      <c r="E203" t="inlineStr">
        <is>
          <t>KLIPPAN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15442-2022</t>
        </is>
      </c>
      <c r="B204" s="1" t="n">
        <v>44659.85333333333</v>
      </c>
      <c r="C204" s="1" t="n">
        <v>45912</v>
      </c>
      <c r="D204" t="inlineStr">
        <is>
          <t>SKÅNE LÄN</t>
        </is>
      </c>
      <c r="E204" t="inlineStr">
        <is>
          <t>KLIPPAN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2755-2023</t>
        </is>
      </c>
      <c r="B205" s="1" t="n">
        <v>44944</v>
      </c>
      <c r="C205" s="1" t="n">
        <v>45912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49370-2023</t>
        </is>
      </c>
      <c r="B206" s="1" t="n">
        <v>45211</v>
      </c>
      <c r="C206" s="1" t="n">
        <v>45912</v>
      </c>
      <c r="D206" t="inlineStr">
        <is>
          <t>SKÅNE LÄN</t>
        </is>
      </c>
      <c r="E206" t="inlineStr">
        <is>
          <t>KLIPPAN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9142-2025</t>
        </is>
      </c>
      <c r="B207" s="1" t="n">
        <v>45714.31886574074</v>
      </c>
      <c r="C207" s="1" t="n">
        <v>45912</v>
      </c>
      <c r="D207" t="inlineStr">
        <is>
          <t>SKÅNE LÄN</t>
        </is>
      </c>
      <c r="E207" t="inlineStr">
        <is>
          <t>KLIPPAN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28709-2023</t>
        </is>
      </c>
      <c r="B208" s="1" t="n">
        <v>45103</v>
      </c>
      <c r="C208" s="1" t="n">
        <v>45912</v>
      </c>
      <c r="D208" t="inlineStr">
        <is>
          <t>SKÅNE LÄN</t>
        </is>
      </c>
      <c r="E208" t="inlineStr">
        <is>
          <t>KLIPPAN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30292-2021</t>
        </is>
      </c>
      <c r="B209" s="1" t="n">
        <v>44364.33482638889</v>
      </c>
      <c r="C209" s="1" t="n">
        <v>45912</v>
      </c>
      <c r="D209" t="inlineStr">
        <is>
          <t>SKÅNE LÄN</t>
        </is>
      </c>
      <c r="E209" t="inlineStr">
        <is>
          <t>KLIPPAN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28247-2023</t>
        </is>
      </c>
      <c r="B210" s="1" t="n">
        <v>45099</v>
      </c>
      <c r="C210" s="1" t="n">
        <v>45912</v>
      </c>
      <c r="D210" t="inlineStr">
        <is>
          <t>SKÅNE LÄN</t>
        </is>
      </c>
      <c r="E210" t="inlineStr">
        <is>
          <t>KLIPPAN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42423-2025</t>
        </is>
      </c>
      <c r="B211" s="1" t="n">
        <v>45905.41005787037</v>
      </c>
      <c r="C211" s="1" t="n">
        <v>45912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40092-2025</t>
        </is>
      </c>
      <c r="B212" s="1" t="n">
        <v>45894</v>
      </c>
      <c r="C212" s="1" t="n">
        <v>45912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27529-2025</t>
        </is>
      </c>
      <c r="B213" s="1" t="n">
        <v>45813</v>
      </c>
      <c r="C213" s="1" t="n">
        <v>45912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56759-2023</t>
        </is>
      </c>
      <c r="B214" s="1" t="n">
        <v>45238</v>
      </c>
      <c r="C214" s="1" t="n">
        <v>45912</v>
      </c>
      <c r="D214" t="inlineStr">
        <is>
          <t>SKÅNE LÄN</t>
        </is>
      </c>
      <c r="E214" t="inlineStr">
        <is>
          <t>KLIPPAN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4301-2024</t>
        </is>
      </c>
      <c r="B215" s="1" t="n">
        <v>45324</v>
      </c>
      <c r="C215" s="1" t="n">
        <v>45912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46728-2023</t>
        </is>
      </c>
      <c r="B216" s="1" t="n">
        <v>45198</v>
      </c>
      <c r="C216" s="1" t="n">
        <v>45912</v>
      </c>
      <c r="D216" t="inlineStr">
        <is>
          <t>SKÅNE LÄN</t>
        </is>
      </c>
      <c r="E216" t="inlineStr">
        <is>
          <t>KLIPPAN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42627-2025</t>
        </is>
      </c>
      <c r="B217" s="1" t="n">
        <v>45905.77766203704</v>
      </c>
      <c r="C217" s="1" t="n">
        <v>45912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40105-2025</t>
        </is>
      </c>
      <c r="B218" s="1" t="n">
        <v>45894</v>
      </c>
      <c r="C218" s="1" t="n">
        <v>45912</v>
      </c>
      <c r="D218" t="inlineStr">
        <is>
          <t>SKÅNE LÄN</t>
        </is>
      </c>
      <c r="E218" t="inlineStr">
        <is>
          <t>KLIPPAN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22202-2023</t>
        </is>
      </c>
      <c r="B219" s="1" t="n">
        <v>45069</v>
      </c>
      <c r="C219" s="1" t="n">
        <v>45912</v>
      </c>
      <c r="D219" t="inlineStr">
        <is>
          <t>SKÅNE LÄN</t>
        </is>
      </c>
      <c r="E219" t="inlineStr">
        <is>
          <t>KLIPPAN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20012-2022</t>
        </is>
      </c>
      <c r="B220" s="1" t="n">
        <v>44697</v>
      </c>
      <c r="C220" s="1" t="n">
        <v>45912</v>
      </c>
      <c r="D220" t="inlineStr">
        <is>
          <t>SKÅNE LÄN</t>
        </is>
      </c>
      <c r="E220" t="inlineStr">
        <is>
          <t>KLIPPAN</t>
        </is>
      </c>
      <c r="G220" t="n">
        <v>17.2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22120-2025</t>
        </is>
      </c>
      <c r="B221" s="1" t="n">
        <v>45785.5165625</v>
      </c>
      <c r="C221" s="1" t="n">
        <v>45912</v>
      </c>
      <c r="D221" t="inlineStr">
        <is>
          <t>SKÅNE LÄN</t>
        </is>
      </c>
      <c r="E221" t="inlineStr">
        <is>
          <t>KLIPPAN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15065-2024</t>
        </is>
      </c>
      <c r="B222" s="1" t="n">
        <v>45399.57625</v>
      </c>
      <c r="C222" s="1" t="n">
        <v>45912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16418-2025</t>
        </is>
      </c>
      <c r="B223" s="1" t="n">
        <v>45751.46372685185</v>
      </c>
      <c r="C223" s="1" t="n">
        <v>45912</v>
      </c>
      <c r="D223" t="inlineStr">
        <is>
          <t>SKÅNE LÄN</t>
        </is>
      </c>
      <c r="E223" t="inlineStr">
        <is>
          <t>KLIPPAN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33462-2025</t>
        </is>
      </c>
      <c r="B224" s="1" t="n">
        <v>45841</v>
      </c>
      <c r="C224" s="1" t="n">
        <v>45912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42006-2025</t>
        </is>
      </c>
      <c r="B225" s="1" t="n">
        <v>45903</v>
      </c>
      <c r="C225" s="1" t="n">
        <v>45912</v>
      </c>
      <c r="D225" t="inlineStr">
        <is>
          <t>SKÅNE LÄN</t>
        </is>
      </c>
      <c r="E225" t="inlineStr">
        <is>
          <t>KLIPPAN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42004-2025</t>
        </is>
      </c>
      <c r="B226" s="1" t="n">
        <v>45903</v>
      </c>
      <c r="C226" s="1" t="n">
        <v>45912</v>
      </c>
      <c r="D226" t="inlineStr">
        <is>
          <t>SKÅNE LÄN</t>
        </is>
      </c>
      <c r="E226" t="inlineStr">
        <is>
          <t>KLIPPAN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30852-2021</t>
        </is>
      </c>
      <c r="B227" s="1" t="n">
        <v>44365</v>
      </c>
      <c r="C227" s="1" t="n">
        <v>45912</v>
      </c>
      <c r="D227" t="inlineStr">
        <is>
          <t>SKÅNE LÄN</t>
        </is>
      </c>
      <c r="E227" t="inlineStr">
        <is>
          <t>KLIPPAN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3498-2024</t>
        </is>
      </c>
      <c r="B228" s="1" t="n">
        <v>45320.47233796296</v>
      </c>
      <c r="C228" s="1" t="n">
        <v>45912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41294-2022</t>
        </is>
      </c>
      <c r="B229" s="1" t="n">
        <v>44825</v>
      </c>
      <c r="C229" s="1" t="n">
        <v>45912</v>
      </c>
      <c r="D229" t="inlineStr">
        <is>
          <t>SKÅNE LÄN</t>
        </is>
      </c>
      <c r="E229" t="inlineStr">
        <is>
          <t>KLIPPAN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63720-2023</t>
        </is>
      </c>
      <c r="B230" s="1" t="n">
        <v>45275</v>
      </c>
      <c r="C230" s="1" t="n">
        <v>45912</v>
      </c>
      <c r="D230" t="inlineStr">
        <is>
          <t>SKÅNE LÄN</t>
        </is>
      </c>
      <c r="E230" t="inlineStr">
        <is>
          <t>KLIPPAN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39097-2024</t>
        </is>
      </c>
      <c r="B231" s="1" t="n">
        <v>45548.56422453704</v>
      </c>
      <c r="C231" s="1" t="n">
        <v>45912</v>
      </c>
      <c r="D231" t="inlineStr">
        <is>
          <t>SKÅNE LÄN</t>
        </is>
      </c>
      <c r="E231" t="inlineStr">
        <is>
          <t>KLIPPAN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8712-2023</t>
        </is>
      </c>
      <c r="B232" s="1" t="n">
        <v>44978.3975462963</v>
      </c>
      <c r="C232" s="1" t="n">
        <v>45912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14278-2024</t>
        </is>
      </c>
      <c r="B233" s="1" t="n">
        <v>45393.60961805555</v>
      </c>
      <c r="C233" s="1" t="n">
        <v>45912</v>
      </c>
      <c r="D233" t="inlineStr">
        <is>
          <t>SKÅNE LÄN</t>
        </is>
      </c>
      <c r="E233" t="inlineStr">
        <is>
          <t>KLIPPAN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69609-2020</t>
        </is>
      </c>
      <c r="B234" s="1" t="n">
        <v>44195</v>
      </c>
      <c r="C234" s="1" t="n">
        <v>45912</v>
      </c>
      <c r="D234" t="inlineStr">
        <is>
          <t>SKÅNE LÄN</t>
        </is>
      </c>
      <c r="E234" t="inlineStr">
        <is>
          <t>KLIPPAN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49073-2024</t>
        </is>
      </c>
      <c r="B235" s="1" t="n">
        <v>45594.61548611111</v>
      </c>
      <c r="C235" s="1" t="n">
        <v>45912</v>
      </c>
      <c r="D235" t="inlineStr">
        <is>
          <t>SKÅNE LÄN</t>
        </is>
      </c>
      <c r="E235" t="inlineStr">
        <is>
          <t>KLIPPAN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47869-2022</t>
        </is>
      </c>
      <c r="B236" s="1" t="n">
        <v>44855.43141203704</v>
      </c>
      <c r="C236" s="1" t="n">
        <v>45912</v>
      </c>
      <c r="D236" t="inlineStr">
        <is>
          <t>SKÅNE LÄN</t>
        </is>
      </c>
      <c r="E236" t="inlineStr">
        <is>
          <t>KLIPPAN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6615-2024</t>
        </is>
      </c>
      <c r="B237" s="1" t="n">
        <v>45341</v>
      </c>
      <c r="C237" s="1" t="n">
        <v>45912</v>
      </c>
      <c r="D237" t="inlineStr">
        <is>
          <t>SKÅNE LÄN</t>
        </is>
      </c>
      <c r="E237" t="inlineStr">
        <is>
          <t>KLIPPAN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7661-2025</t>
        </is>
      </c>
      <c r="B238" s="1" t="n">
        <v>45706</v>
      </c>
      <c r="C238" s="1" t="n">
        <v>45912</v>
      </c>
      <c r="D238" t="inlineStr">
        <is>
          <t>SKÅNE LÄN</t>
        </is>
      </c>
      <c r="E238" t="inlineStr">
        <is>
          <t>KLIPPAN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24647-2023</t>
        </is>
      </c>
      <c r="B239" s="1" t="n">
        <v>45084</v>
      </c>
      <c r="C239" s="1" t="n">
        <v>45912</v>
      </c>
      <c r="D239" t="inlineStr">
        <is>
          <t>SKÅNE LÄN</t>
        </is>
      </c>
      <c r="E239" t="inlineStr">
        <is>
          <t>KLIPPAN</t>
        </is>
      </c>
      <c r="F239" t="inlineStr">
        <is>
          <t>Övriga Aktiebolag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3183-2023</t>
        </is>
      </c>
      <c r="B240" s="1" t="n">
        <v>44944</v>
      </c>
      <c r="C240" s="1" t="n">
        <v>45912</v>
      </c>
      <c r="D240" t="inlineStr">
        <is>
          <t>SKÅNE LÄN</t>
        </is>
      </c>
      <c r="E240" t="inlineStr">
        <is>
          <t>KLIPPAN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48965-2023</t>
        </is>
      </c>
      <c r="B241" s="1" t="n">
        <v>45209</v>
      </c>
      <c r="C241" s="1" t="n">
        <v>45912</v>
      </c>
      <c r="D241" t="inlineStr">
        <is>
          <t>SKÅNE LÄN</t>
        </is>
      </c>
      <c r="E241" t="inlineStr">
        <is>
          <t>KLIPPAN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9270-2022</t>
        </is>
      </c>
      <c r="B242" s="1" t="n">
        <v>44616</v>
      </c>
      <c r="C242" s="1" t="n">
        <v>45912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36842-2024</t>
        </is>
      </c>
      <c r="B243" s="1" t="n">
        <v>45538</v>
      </c>
      <c r="C243" s="1" t="n">
        <v>45912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5523-2022</t>
        </is>
      </c>
      <c r="B244" s="1" t="n">
        <v>44593</v>
      </c>
      <c r="C244" s="1" t="n">
        <v>45912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13420-2023</t>
        </is>
      </c>
      <c r="B245" s="1" t="n">
        <v>45005</v>
      </c>
      <c r="C245" s="1" t="n">
        <v>45912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17060-2021</t>
        </is>
      </c>
      <c r="B246" s="1" t="n">
        <v>44296.63025462963</v>
      </c>
      <c r="C246" s="1" t="n">
        <v>45912</v>
      </c>
      <c r="D246" t="inlineStr">
        <is>
          <t>SKÅNE LÄN</t>
        </is>
      </c>
      <c r="E246" t="inlineStr">
        <is>
          <t>KLIPPAN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4321-2024</t>
        </is>
      </c>
      <c r="B247" s="1" t="n">
        <v>45324.66635416666</v>
      </c>
      <c r="C247" s="1" t="n">
        <v>45912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62473-2023</t>
        </is>
      </c>
      <c r="B248" s="1" t="n">
        <v>45267</v>
      </c>
      <c r="C248" s="1" t="n">
        <v>45912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42281-2024</t>
        </is>
      </c>
      <c r="B249" s="1" t="n">
        <v>45562.6105787037</v>
      </c>
      <c r="C249" s="1" t="n">
        <v>45912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42284-2024</t>
        </is>
      </c>
      <c r="B250" s="1" t="n">
        <v>45562</v>
      </c>
      <c r="C250" s="1" t="n">
        <v>45912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3489-2024</t>
        </is>
      </c>
      <c r="B251" s="1" t="n">
        <v>45320</v>
      </c>
      <c r="C251" s="1" t="n">
        <v>45912</v>
      </c>
      <c r="D251" t="inlineStr">
        <is>
          <t>SKÅNE LÄN</t>
        </is>
      </c>
      <c r="E251" t="inlineStr">
        <is>
          <t>KLIPPAN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8500-2023</t>
        </is>
      </c>
      <c r="B252" s="1" t="n">
        <v>44977</v>
      </c>
      <c r="C252" s="1" t="n">
        <v>45912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30738-2021</t>
        </is>
      </c>
      <c r="B253" s="1" t="n">
        <v>44365.45446759259</v>
      </c>
      <c r="C253" s="1" t="n">
        <v>45912</v>
      </c>
      <c r="D253" t="inlineStr">
        <is>
          <t>SKÅNE LÄN</t>
        </is>
      </c>
      <c r="E253" t="inlineStr">
        <is>
          <t>KLIPPAN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55291-2023</t>
        </is>
      </c>
      <c r="B254" s="1" t="n">
        <v>45237</v>
      </c>
      <c r="C254" s="1" t="n">
        <v>45912</v>
      </c>
      <c r="D254" t="inlineStr">
        <is>
          <t>SKÅNE LÄN</t>
        </is>
      </c>
      <c r="E254" t="inlineStr">
        <is>
          <t>KLIPPAN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63073-2020</t>
        </is>
      </c>
      <c r="B255" s="1" t="n">
        <v>44162</v>
      </c>
      <c r="C255" s="1" t="n">
        <v>45912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69041-2021</t>
        </is>
      </c>
      <c r="B256" s="1" t="n">
        <v>44529</v>
      </c>
      <c r="C256" s="1" t="n">
        <v>45912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2025-09-12T08:58:18Z</dcterms:created>
  <dcterms:modified xmlns:dcterms="http://purl.org/dc/terms/" xmlns:xsi="http://www.w3.org/2001/XMLSchema-instance" xsi:type="dcterms:W3CDTF">2025-09-12T08:58:18Z</dcterms:modified>
</cp:coreProperties>
</file>