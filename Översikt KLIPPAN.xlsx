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46241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46241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46241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46241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46241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46241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46241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46241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46241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46241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46241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46241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46241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46241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46241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46241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46241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46241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46241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46241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46241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46241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46241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46241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46241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46241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46241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46241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46241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46241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46241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HYPERLINK("https://klasma.github.io/Logging_1276/artfynd/A 15810-2024 artfynd.xlsx", "A 15810-2024")</f>
        <v/>
      </c>
      <c r="X32">
        <f>HYPERLINK("https://klasma.github.io/Logging_1276/kartor/A 15810-2024 karta.png", "A 15810-2024")</f>
        <v/>
      </c>
      <c r="Y32">
        <f>HYPERLINK("https://klasma.github.io/Logging_1276/kartor_geotiff/A 15810-2024 georefererad karta.tif", "A 15810-2024")</f>
        <v/>
      </c>
      <c r="AA32">
        <f>HYPERLINK("https://klasma.github.io/Logging_1276/klagomål/A 15810-2024 FSC-klagomål.docx", "A 15810-2024")</f>
        <v/>
      </c>
      <c r="AB32">
        <f>HYPERLINK("https://klasma.github.io/Logging_1276/klagomålsmail/A 15810-2024 FSC-klagomål mail.docx", "A 15810-2024")</f>
        <v/>
      </c>
      <c r="AC32">
        <f>HYPERLINK("https://klasma.github.io/Logging_1276/tillsyn/A 15810-2024 tillsynsbegäran.docx", "A 15810-2024")</f>
        <v/>
      </c>
      <c r="AD32">
        <f>HYPERLINK("https://klasma.github.io/Logging_1276/tillsynsmail/A 15810-2024 tillsynsbegäran mail.docx", "A 15810-2024")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46241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14892-2023 artfynd.xlsx", "A 14892-2023")</f>
        <v/>
      </c>
      <c r="X33">
        <f>HYPERLINK("https://klasma.github.io/Logging_1276/kartor/A 14892-2023 karta.png", "A 14892-2023")</f>
        <v/>
      </c>
      <c r="Y33">
        <f>HYPERLINK("https://klasma.github.io/Logging_1276/kartor_geotiff/A 14892-2023 georefererad karta.tif", "A 14892-2023")</f>
        <v/>
      </c>
      <c r="AA33">
        <f>HYPERLINK("https://klasma.github.io/Logging_1276/klagomål/A 14892-2023 FSC-klagomål.docx", "A 14892-2023")</f>
        <v/>
      </c>
      <c r="AB33">
        <f>HYPERLINK("https://klasma.github.io/Logging_1276/klagomålsmail/A 14892-2023 FSC-klagomål mail.docx", "A 14892-2023")</f>
        <v/>
      </c>
      <c r="AC33">
        <f>HYPERLINK("https://klasma.github.io/Logging_1276/tillsyn/A 14892-2023 tillsynsbegäran.docx", "A 14892-2023")</f>
        <v/>
      </c>
      <c r="AD33">
        <f>HYPERLINK("https://klasma.github.io/Logging_1276/tillsynsmail/A 14892-2023 tillsynsbegäran mail.docx", "A 14892-2023")</f>
        <v/>
      </c>
      <c r="AE33">
        <f>HYPERLINK("https://klasma.github.io/Logging_1276/fåglar/A 14892-2023 prioriterade fågelarter.docx", "A 14892-2023")</f>
        <v/>
      </c>
    </row>
    <row r="34" ht="15" customHeight="1">
      <c r="A34" t="inlineStr">
        <is>
          <t>A 61049-2025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46241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61049-2025 artfynd.xlsx", "A 61049-2025")</f>
        <v/>
      </c>
      <c r="X34">
        <f>HYPERLINK("https://klasma.github.io/Logging_1276/kartor/A 61049-2025 karta.png", "A 61049-2025")</f>
        <v/>
      </c>
      <c r="Y34">
        <f>HYPERLINK("https://klasma.github.io/Logging_1276/kartor_geotiff/A 61049-2025 georefererad karta.tif", "A 61049-2025")</f>
        <v/>
      </c>
      <c r="AA34">
        <f>HYPERLINK("https://klasma.github.io/Logging_1276/klagomål/A 61049-2025 FSC-klagomål.docx", "A 61049-2025")</f>
        <v/>
      </c>
      <c r="AB34">
        <f>HYPERLINK("https://klasma.github.io/Logging_1276/klagomålsmail/A 61049-2025 FSC-klagomål mail.docx", "A 61049-2025")</f>
        <v/>
      </c>
      <c r="AC34">
        <f>HYPERLINK("https://klasma.github.io/Logging_1276/tillsyn/A 61049-2025 tillsynsbegäran.docx", "A 61049-2025")</f>
        <v/>
      </c>
      <c r="AD34">
        <f>HYPERLINK("https://klasma.github.io/Logging_1276/tillsynsmail/A 61049-2025 tillsynsbegäran mail.docx", "A 61049-2025")</f>
        <v/>
      </c>
      <c r="AE34">
        <f>HYPERLINK("https://klasma.github.io/Logging_1276/fåglar/A 61049-2025 prioriterade fågelarter.docx", "A 61049-2025")</f>
        <v/>
      </c>
    </row>
    <row r="35" ht="15" customHeight="1">
      <c r="A35" t="inlineStr">
        <is>
          <t>A 46147-2022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46241</v>
      </c>
      <c r="F35" t="inlineStr">
        <is>
          <t>SKÅNE LÄN</t>
        </is>
      </c>
      <c r="G35" t="inlineStr">
        <is>
          <t>KLIPPAN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Västlig hakmossa</t>
        </is>
      </c>
      <c r="W35">
        <f>HYPERLINK("https://klasma.github.io/Logging_1276/artfynd/A 46147-2022 artfynd.xlsx", "A 46147-2022")</f>
        <v/>
      </c>
      <c r="X35">
        <f>HYPERLINK("https://klasma.github.io/Logging_1276/kartor/A 46147-2022 karta.png", "A 46147-2022")</f>
        <v/>
      </c>
      <c r="Y35">
        <f>HYPERLINK("https://klasma.github.io/Logging_1276/kartor_geotiff/A 46147-2022 georefererad karta.tif", "A 46147-2022")</f>
        <v/>
      </c>
      <c r="AA35">
        <f>HYPERLINK("https://klasma.github.io/Logging_1276/klagomål/A 46147-2022 FSC-klagomål.docx", "A 46147-2022")</f>
        <v/>
      </c>
      <c r="AB35">
        <f>HYPERLINK("https://klasma.github.io/Logging_1276/klagomålsmail/A 46147-2022 FSC-klagomål mail.docx", "A 46147-2022")</f>
        <v/>
      </c>
      <c r="AC35">
        <f>HYPERLINK("https://klasma.github.io/Logging_1276/tillsyn/A 46147-2022 tillsynsbegäran.docx", "A 46147-2022")</f>
        <v/>
      </c>
      <c r="AD35">
        <f>HYPERLINK("https://klasma.github.io/Logging_1276/tillsynsmail/A 46147-2022 tillsynsbegäran mail.docx", "A 46147-2022")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46241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21788-2026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46241</v>
      </c>
      <c r="F37" t="inlineStr">
        <is>
          <t>SKÅNE LÄN</t>
        </is>
      </c>
      <c r="G37" t="inlineStr">
        <is>
          <t>KLIPPAN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Bäckbräsma</t>
        </is>
      </c>
      <c r="W37">
        <f>HYPERLINK("https://klasma.github.io/Logging_1276/artfynd/A 21788-2026 artfynd.xlsx", "A 21788-2026")</f>
        <v/>
      </c>
      <c r="X37">
        <f>HYPERLINK("https://klasma.github.io/Logging_1276/kartor/A 21788-2026 karta.png", "A 21788-2026")</f>
        <v/>
      </c>
      <c r="Y37">
        <f>HYPERLINK("https://klasma.github.io/Logging_1276/kartor_geotiff/A 21788-2026 georefererad karta.tif", "A 21788-2026")</f>
        <v/>
      </c>
      <c r="AA37">
        <f>HYPERLINK("https://klasma.github.io/Logging_1276/klagomål/A 21788-2026 FSC-klagomål.docx", "A 21788-2026")</f>
        <v/>
      </c>
      <c r="AB37">
        <f>HYPERLINK("https://klasma.github.io/Logging_1276/klagomålsmail/A 21788-2026 FSC-klagomål mail.docx", "A 21788-2026")</f>
        <v/>
      </c>
      <c r="AC37">
        <f>HYPERLINK("https://klasma.github.io/Logging_1276/tillsyn/A 21788-2026 tillsynsbegäran.docx", "A 21788-2026")</f>
        <v/>
      </c>
      <c r="AD37">
        <f>HYPERLINK("https://klasma.github.io/Logging_1276/tillsynsmail/A 21788-2026 tillsynsbegäran mail.docx", "A 21788-2026")</f>
        <v/>
      </c>
    </row>
    <row r="38" ht="15" customHeight="1">
      <c r="A38" t="inlineStr">
        <is>
          <t>A 6446-2026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46241</v>
      </c>
      <c r="F38" t="inlineStr">
        <is>
          <t>SKÅNE LÄN</t>
        </is>
      </c>
      <c r="G38" t="inlineStr">
        <is>
          <t>KLIPPAN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HYPERLINK("https://klasma.github.io/Logging_1276/artfynd/A 6446-2026 artfynd.xlsx", "A 6446-2026")</f>
        <v/>
      </c>
      <c r="X38">
        <f>HYPERLINK("https://klasma.github.io/Logging_1276/kartor/A 6446-2026 karta.png", "A 6446-2026")</f>
        <v/>
      </c>
      <c r="Y38">
        <f>HYPERLINK("https://klasma.github.io/Logging_1276/kartor_geotiff/A 6446-2026 georefererad karta.tif", "A 6446-2026")</f>
        <v/>
      </c>
      <c r="AA38">
        <f>HYPERLINK("https://klasma.github.io/Logging_1276/klagomål/A 6446-2026 FSC-klagomål.docx", "A 6446-2026")</f>
        <v/>
      </c>
      <c r="AB38">
        <f>HYPERLINK("https://klasma.github.io/Logging_1276/klagomålsmail/A 6446-2026 FSC-klagomål mail.docx", "A 6446-2026")</f>
        <v/>
      </c>
      <c r="AC38">
        <f>HYPERLINK("https://klasma.github.io/Logging_1276/tillsyn/A 6446-2026 tillsynsbegäran.docx", "A 6446-2026")</f>
        <v/>
      </c>
      <c r="AD38">
        <f>HYPERLINK("https://klasma.github.io/Logging_1276/tillsynsmail/A 6446-2026 tillsynsbegäran mail.docx", "A 6446-2026")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46241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46241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46241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46241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46241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46241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46241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46241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46241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46241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46241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46241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46241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46241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46241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46241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46241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46241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46241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46241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46241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46241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46241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46241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46241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46241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46241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46241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46241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46241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45341</v>
      </c>
      <c r="E69" s="1" t="n">
        <v>46241</v>
      </c>
      <c r="F69" t="inlineStr">
        <is>
          <t>SKÅNE LÄN</t>
        </is>
      </c>
      <c r="G69" t="inlineStr">
        <is>
          <t>KLIPPAN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45714</v>
      </c>
      <c r="E70" s="1" t="n">
        <v>46241</v>
      </c>
      <c r="F70" t="inlineStr">
        <is>
          <t>SKÅNE LÄN</t>
        </is>
      </c>
      <c r="G70" t="inlineStr">
        <is>
          <t>KLIPPAN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46241</v>
      </c>
      <c r="F71" t="inlineStr">
        <is>
          <t>SKÅNE LÄN</t>
        </is>
      </c>
      <c r="G71" t="inlineStr">
        <is>
          <t>KLIPPAN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46241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46241</v>
      </c>
      <c r="F73" t="inlineStr">
        <is>
          <t>SKÅNE LÄN</t>
        </is>
      </c>
      <c r="G73" t="inlineStr">
        <is>
          <t>KLIPPAN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46241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46241</v>
      </c>
      <c r="F75" t="inlineStr">
        <is>
          <t>SKÅNE LÄN</t>
        </is>
      </c>
      <c r="G75" t="inlineStr">
        <is>
          <t>KLIPPAN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55833-2023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45239</v>
      </c>
      <c r="E76" s="1" t="n">
        <v>46241</v>
      </c>
      <c r="F76" t="inlineStr">
        <is>
          <t>SKÅNE LÄN</t>
        </is>
      </c>
      <c r="G76" t="inlineStr">
        <is>
          <t>KLIPPAN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46241</v>
      </c>
      <c r="F77" t="inlineStr">
        <is>
          <t>SKÅNE LÄN</t>
        </is>
      </c>
      <c r="G77" t="inlineStr">
        <is>
          <t>KLIPPAN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46241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46241</v>
      </c>
      <c r="F79" t="inlineStr">
        <is>
          <t>SKÅNE LÄN</t>
        </is>
      </c>
      <c r="G79" t="inlineStr">
        <is>
          <t>KLIPPAN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45393</v>
      </c>
      <c r="E80" s="1" t="n">
        <v>46241</v>
      </c>
      <c r="F80" t="inlineStr">
        <is>
          <t>SKÅNE LÄN</t>
        </is>
      </c>
      <c r="G80" t="inlineStr">
        <is>
          <t>KLIPPAN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46241</v>
      </c>
      <c r="F81" t="inlineStr">
        <is>
          <t>SKÅNE LÄN</t>
        </is>
      </c>
      <c r="G81" t="inlineStr">
        <is>
          <t>KLIPPAN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46241</v>
      </c>
      <c r="F82" t="inlineStr">
        <is>
          <t>SKÅNE LÄN</t>
        </is>
      </c>
      <c r="G82" t="inlineStr">
        <is>
          <t>KLIPPAN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46241</v>
      </c>
      <c r="F83" t="inlineStr">
        <is>
          <t>SKÅNE LÄN</t>
        </is>
      </c>
      <c r="G83" t="inlineStr">
        <is>
          <t>KLIPPAN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46241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45641-2022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44845</v>
      </c>
      <c r="E85" s="1" t="n">
        <v>46241</v>
      </c>
      <c r="F85" t="inlineStr">
        <is>
          <t>SKÅNE LÄN</t>
        </is>
      </c>
      <c r="G85" t="inlineStr">
        <is>
          <t>KLIPPAN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55586-2021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44475</v>
      </c>
      <c r="E86" s="1" t="n">
        <v>46241</v>
      </c>
      <c r="F86" t="inlineStr">
        <is>
          <t>SKÅNE LÄN</t>
        </is>
      </c>
      <c r="G86" t="inlineStr">
        <is>
          <t>KLIPPAN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45739</v>
      </c>
      <c r="E87" s="1" t="n">
        <v>46241</v>
      </c>
      <c r="F87" t="inlineStr">
        <is>
          <t>SKÅNE LÄN</t>
        </is>
      </c>
      <c r="G87" t="inlineStr">
        <is>
          <t>KLIPPAN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33331-2024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45519</v>
      </c>
      <c r="E88" s="1" t="n">
        <v>46241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44901</v>
      </c>
      <c r="E89" s="1" t="n">
        <v>46241</v>
      </c>
      <c r="F89" t="inlineStr">
        <is>
          <t>SKÅNE LÄN</t>
        </is>
      </c>
      <c r="G89" t="inlineStr">
        <is>
          <t>KLIPPAN</t>
        </is>
      </c>
      <c r="H89" t="inlineStr">
        <is>
          <t>Kommuner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46241</v>
      </c>
      <c r="F90" t="inlineStr">
        <is>
          <t>SKÅNE LÄN</t>
        </is>
      </c>
      <c r="G90" t="inlineStr">
        <is>
          <t>KLIPPAN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46241</v>
      </c>
      <c r="F91" t="inlineStr">
        <is>
          <t>SKÅNE LÄN</t>
        </is>
      </c>
      <c r="G91" t="inlineStr">
        <is>
          <t>KLIPPAN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46241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46241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14614-2023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45013</v>
      </c>
      <c r="E94" s="1" t="n">
        <v>46241</v>
      </c>
      <c r="F94" t="inlineStr">
        <is>
          <t>SKÅNE LÄN</t>
        </is>
      </c>
      <c r="G94" t="inlineStr">
        <is>
          <t>KLIPPAN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45055</v>
      </c>
      <c r="E95" s="1" t="n">
        <v>46241</v>
      </c>
      <c r="F95" t="inlineStr">
        <is>
          <t>SKÅNE LÄN</t>
        </is>
      </c>
      <c r="G95" t="inlineStr">
        <is>
          <t>KLIPPAN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45785</v>
      </c>
      <c r="E96" s="1" t="n">
        <v>46241</v>
      </c>
      <c r="F96" t="inlineStr">
        <is>
          <t>SKÅNE LÄN</t>
        </is>
      </c>
      <c r="G96" t="inlineStr">
        <is>
          <t>KLIPPAN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44722</v>
      </c>
      <c r="E97" s="1" t="n">
        <v>46241</v>
      </c>
      <c r="F97" t="inlineStr">
        <is>
          <t>SKÅNE LÄN</t>
        </is>
      </c>
      <c r="G97" t="inlineStr">
        <is>
          <t>KLIPPAN</t>
        </is>
      </c>
      <c r="I97" t="n">
        <v>9.699999999999999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60783-2023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45260</v>
      </c>
      <c r="E98" s="1" t="n">
        <v>46241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46241</v>
      </c>
      <c r="F99" t="inlineStr">
        <is>
          <t>SKÅNE LÄN</t>
        </is>
      </c>
      <c r="G99" t="inlineStr">
        <is>
          <t>KLIPPAN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46241</v>
      </c>
      <c r="F100" t="inlineStr">
        <is>
          <t>SKÅNE LÄN</t>
        </is>
      </c>
      <c r="G100" t="inlineStr">
        <is>
          <t>KLIPPAN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46241</v>
      </c>
      <c r="F101" t="inlineStr">
        <is>
          <t>SKÅNE LÄN</t>
        </is>
      </c>
      <c r="G101" t="inlineStr">
        <is>
          <t>KLIPPAN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46241</v>
      </c>
      <c r="F102" t="inlineStr">
        <is>
          <t>SKÅNE LÄN</t>
        </is>
      </c>
      <c r="G102" t="inlineStr">
        <is>
          <t>KLIPPAN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45260</v>
      </c>
      <c r="E103" s="1" t="n">
        <v>46241</v>
      </c>
      <c r="F103" t="inlineStr">
        <is>
          <t>SKÅNE LÄN</t>
        </is>
      </c>
      <c r="G103" t="inlineStr">
        <is>
          <t>KLIPPAN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46241</v>
      </c>
      <c r="F104" t="inlineStr">
        <is>
          <t>SKÅNE LÄN</t>
        </is>
      </c>
      <c r="G104" t="inlineStr">
        <is>
          <t>KLIPPAN</t>
        </is>
      </c>
      <c r="H104" t="inlineStr">
        <is>
          <t>Övriga Aktiebolag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46241</v>
      </c>
      <c r="F105" t="inlineStr">
        <is>
          <t>SKÅNE LÄN</t>
        </is>
      </c>
      <c r="G105" t="inlineStr">
        <is>
          <t>KLIPPAN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44838</v>
      </c>
      <c r="E106" s="1" t="n">
        <v>46241</v>
      </c>
      <c r="F106" t="inlineStr">
        <is>
          <t>SKÅNE LÄN</t>
        </is>
      </c>
      <c r="G106" t="inlineStr">
        <is>
          <t>KLIPPAN</t>
        </is>
      </c>
      <c r="H106" t="inlineStr">
        <is>
          <t>Sveaskog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49073-2024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45594</v>
      </c>
      <c r="E107" s="1" t="n">
        <v>46241</v>
      </c>
      <c r="F107" t="inlineStr">
        <is>
          <t>SKÅNE LÄN</t>
        </is>
      </c>
      <c r="G107" t="inlineStr">
        <is>
          <t>KLIPPAN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45055</v>
      </c>
      <c r="E108" s="1" t="n">
        <v>46241</v>
      </c>
      <c r="F108" t="inlineStr">
        <is>
          <t>SKÅNE LÄN</t>
        </is>
      </c>
      <c r="G108" t="inlineStr">
        <is>
          <t>KLIPPAN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46241</v>
      </c>
      <c r="F109" t="inlineStr">
        <is>
          <t>SKÅNE LÄN</t>
        </is>
      </c>
      <c r="G109" t="inlineStr">
        <is>
          <t>KLIPPAN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46241</v>
      </c>
      <c r="F110" t="inlineStr">
        <is>
          <t>SKÅNE LÄN</t>
        </is>
      </c>
      <c r="G110" t="inlineStr">
        <is>
          <t>KLIPPAN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45474</v>
      </c>
      <c r="E111" s="1" t="n">
        <v>46241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28490-2023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46241</v>
      </c>
      <c r="F112" t="inlineStr">
        <is>
          <t>SKÅNE LÄN</t>
        </is>
      </c>
      <c r="G112" t="inlineStr">
        <is>
          <t>KLIPPAN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34479-2025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46241</v>
      </c>
      <c r="F113" t="inlineStr">
        <is>
          <t>SKÅNE LÄN</t>
        </is>
      </c>
      <c r="G113" t="inlineStr">
        <is>
          <t>KLIPPAN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45583</v>
      </c>
      <c r="E114" s="1" t="n">
        <v>46241</v>
      </c>
      <c r="F114" t="inlineStr">
        <is>
          <t>SKÅNE LÄN</t>
        </is>
      </c>
      <c r="G114" t="inlineStr">
        <is>
          <t>KLIPPAN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46241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46241</v>
      </c>
      <c r="F116" t="inlineStr">
        <is>
          <t>SKÅNE LÄN</t>
        </is>
      </c>
      <c r="G116" t="inlineStr">
        <is>
          <t>KLIPPAN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45013</v>
      </c>
      <c r="E117" s="1" t="n">
        <v>46241</v>
      </c>
      <c r="F117" t="inlineStr">
        <is>
          <t>SKÅNE LÄN</t>
        </is>
      </c>
      <c r="G117" t="inlineStr">
        <is>
          <t>KLIPPAN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46241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55587-2021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46241</v>
      </c>
      <c r="F119" t="inlineStr">
        <is>
          <t>SKÅNE LÄN</t>
        </is>
      </c>
      <c r="G119" t="inlineStr">
        <is>
          <t>KLIPPAN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20082-2026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46241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40092-2025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45894</v>
      </c>
      <c r="E121" s="1" t="n">
        <v>46241</v>
      </c>
      <c r="F121" t="inlineStr">
        <is>
          <t>SKÅNE LÄN</t>
        </is>
      </c>
      <c r="G121" t="inlineStr">
        <is>
          <t>KLIPPAN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46241</v>
      </c>
      <c r="F122" t="inlineStr">
        <is>
          <t>SKÅNE LÄN</t>
        </is>
      </c>
      <c r="G122" t="inlineStr">
        <is>
          <t>KLIPPAN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69041-2021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44529</v>
      </c>
      <c r="E123" s="1" t="n">
        <v>46241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45077</v>
      </c>
      <c r="E124" s="1" t="n">
        <v>46241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25393-2023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45079</v>
      </c>
      <c r="E125" s="1" t="n">
        <v>46241</v>
      </c>
      <c r="F125" t="inlineStr">
        <is>
          <t>SKÅNE LÄN</t>
        </is>
      </c>
      <c r="G125" t="inlineStr">
        <is>
          <t>KLIPPAN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44978</v>
      </c>
      <c r="E126" s="1" t="n">
        <v>46241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46241</v>
      </c>
      <c r="F127" t="inlineStr">
        <is>
          <t>SKÅNE LÄN</t>
        </is>
      </c>
      <c r="G127" t="inlineStr">
        <is>
          <t>KLIPPAN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46241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44930</v>
      </c>
      <c r="E129" s="1" t="n">
        <v>46241</v>
      </c>
      <c r="F129" t="inlineStr">
        <is>
          <t>SKÅNE LÄN</t>
        </is>
      </c>
      <c r="G129" t="inlineStr">
        <is>
          <t>KLIPPAN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45055</v>
      </c>
      <c r="E130" s="1" t="n">
        <v>46241</v>
      </c>
      <c r="F130" t="inlineStr">
        <is>
          <t>SKÅNE LÄN</t>
        </is>
      </c>
      <c r="G130" t="inlineStr">
        <is>
          <t>KLIPPAN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55588-2021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46241</v>
      </c>
      <c r="F131" t="inlineStr">
        <is>
          <t>SKÅNE LÄN</t>
        </is>
      </c>
      <c r="G131" t="inlineStr">
        <is>
          <t>KLIPPAN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46241</v>
      </c>
      <c r="F132" t="inlineStr">
        <is>
          <t>SKÅNE LÄN</t>
        </is>
      </c>
      <c r="G132" t="inlineStr">
        <is>
          <t>KLIPPAN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46241</v>
      </c>
      <c r="F133" t="inlineStr">
        <is>
          <t>SKÅNE LÄN</t>
        </is>
      </c>
      <c r="G133" t="inlineStr">
        <is>
          <t>KLIPPAN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45972</v>
      </c>
      <c r="E134" s="1" t="n">
        <v>46241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44944</v>
      </c>
      <c r="E135" s="1" t="n">
        <v>46241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45104</v>
      </c>
      <c r="E136" s="1" t="n">
        <v>46241</v>
      </c>
      <c r="F136" t="inlineStr">
        <is>
          <t>SKÅNE LÄN</t>
        </is>
      </c>
      <c r="G136" t="inlineStr">
        <is>
          <t>KLIPPAN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45562</v>
      </c>
      <c r="E137" s="1" t="n">
        <v>46241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46241</v>
      </c>
      <c r="F138" t="inlineStr">
        <is>
          <t>SKÅNE LÄN</t>
        </is>
      </c>
      <c r="G138" t="inlineStr">
        <is>
          <t>KLIPPAN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45981</v>
      </c>
      <c r="E139" s="1" t="n">
        <v>46241</v>
      </c>
      <c r="F139" t="inlineStr">
        <is>
          <t>SKÅNE LÄN</t>
        </is>
      </c>
      <c r="G139" t="inlineStr">
        <is>
          <t>KLIPPAN</t>
        </is>
      </c>
      <c r="H139" t="inlineStr">
        <is>
          <t>Sveaskog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46241</v>
      </c>
      <c r="F140" t="inlineStr">
        <is>
          <t>SKÅNE LÄN</t>
        </is>
      </c>
      <c r="G140" t="inlineStr">
        <is>
          <t>KLIPPAN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44448</v>
      </c>
      <c r="E141" s="1" t="n">
        <v>46241</v>
      </c>
      <c r="F141" t="inlineStr">
        <is>
          <t>SKÅNE LÄN</t>
        </is>
      </c>
      <c r="G141" t="inlineStr">
        <is>
          <t>KLIPPAN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46241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46241</v>
      </c>
      <c r="F143" t="inlineStr">
        <is>
          <t>SKÅNE LÄN</t>
        </is>
      </c>
      <c r="G143" t="inlineStr">
        <is>
          <t>KLIPPAN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44489</v>
      </c>
      <c r="E144" s="1" t="n">
        <v>46241</v>
      </c>
      <c r="F144" t="inlineStr">
        <is>
          <t>SKÅNE LÄN</t>
        </is>
      </c>
      <c r="G144" t="inlineStr">
        <is>
          <t>KLIPPAN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46241</v>
      </c>
      <c r="F145" t="inlineStr">
        <is>
          <t>SKÅNE LÄN</t>
        </is>
      </c>
      <c r="G145" t="inlineStr">
        <is>
          <t>KLIPPAN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21778-2026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46241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46241</v>
      </c>
      <c r="F147" t="inlineStr">
        <is>
          <t>SKÅNE LÄN</t>
        </is>
      </c>
      <c r="G147" t="inlineStr">
        <is>
          <t>KLIPPAN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46241</v>
      </c>
      <c r="F148" t="inlineStr">
        <is>
          <t>SKÅNE LÄN</t>
        </is>
      </c>
      <c r="G148" t="inlineStr">
        <is>
          <t>KLIPPAN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46241</v>
      </c>
      <c r="F149" t="inlineStr">
        <is>
          <t>SKÅNE LÄN</t>
        </is>
      </c>
      <c r="G149" t="inlineStr">
        <is>
          <t>KLIPPAN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46241</v>
      </c>
      <c r="F150" t="inlineStr">
        <is>
          <t>SKÅNE LÄN</t>
        </is>
      </c>
      <c r="G150" t="inlineStr">
        <is>
          <t>KLIPPAN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46241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44992</v>
      </c>
      <c r="E152" s="1" t="n">
        <v>46241</v>
      </c>
      <c r="F152" t="inlineStr">
        <is>
          <t>SKÅNE LÄN</t>
        </is>
      </c>
      <c r="G152" t="inlineStr">
        <is>
          <t>KLIPPAN</t>
        </is>
      </c>
      <c r="H152" t="inlineStr">
        <is>
          <t>Övriga Aktiebolag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46241</v>
      </c>
      <c r="F153" t="inlineStr">
        <is>
          <t>SKÅNE LÄN</t>
        </is>
      </c>
      <c r="G153" t="inlineStr">
        <is>
          <t>KLIPPAN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46013</v>
      </c>
      <c r="E154" s="1" t="n">
        <v>46241</v>
      </c>
      <c r="F154" t="inlineStr">
        <is>
          <t>SKÅNE LÄN</t>
        </is>
      </c>
      <c r="G154" t="inlineStr">
        <is>
          <t>KLIPPAN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46241</v>
      </c>
      <c r="F155" t="inlineStr">
        <is>
          <t>SKÅNE LÄN</t>
        </is>
      </c>
      <c r="G155" t="inlineStr">
        <is>
          <t>KLIPPAN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18214-2023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46241</v>
      </c>
      <c r="F156" t="inlineStr">
        <is>
          <t>SKÅNE LÄN</t>
        </is>
      </c>
      <c r="G156" t="inlineStr">
        <is>
          <t>KLIPPAN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44944</v>
      </c>
      <c r="E157" s="1" t="n">
        <v>46241</v>
      </c>
      <c r="F157" t="inlineStr">
        <is>
          <t>SKÅNE LÄN</t>
        </is>
      </c>
      <c r="G157" t="inlineStr">
        <is>
          <t>KLIPPAN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46241</v>
      </c>
      <c r="F158" t="inlineStr">
        <is>
          <t>SKÅNE LÄN</t>
        </is>
      </c>
      <c r="G158" t="inlineStr">
        <is>
          <t>KLIPPAN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46241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11.6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46241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45673</v>
      </c>
      <c r="E161" s="1" t="n">
        <v>46241</v>
      </c>
      <c r="F161" t="inlineStr">
        <is>
          <t>SKÅNE LÄN</t>
        </is>
      </c>
      <c r="G161" t="inlineStr">
        <is>
          <t>KLIPPAN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45324</v>
      </c>
      <c r="E162" s="1" t="n">
        <v>46241</v>
      </c>
      <c r="F162" t="inlineStr">
        <is>
          <t>SKÅNE LÄN</t>
        </is>
      </c>
      <c r="G162" t="inlineStr">
        <is>
          <t>KLIPPAN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46241</v>
      </c>
      <c r="F163" t="inlineStr">
        <is>
          <t>SKÅNE LÄN</t>
        </is>
      </c>
      <c r="G163" t="inlineStr">
        <is>
          <t>KLIPPAN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46241</v>
      </c>
      <c r="F164" t="inlineStr">
        <is>
          <t>SKÅNE LÄN</t>
        </is>
      </c>
      <c r="G164" t="inlineStr">
        <is>
          <t>KLIPPAN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46241</v>
      </c>
      <c r="F165" t="inlineStr">
        <is>
          <t>SKÅNE LÄN</t>
        </is>
      </c>
      <c r="G165" t="inlineStr">
        <is>
          <t>KLIPPAN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46027</v>
      </c>
      <c r="E166" s="1" t="n">
        <v>46241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46241</v>
      </c>
      <c r="F167" t="inlineStr">
        <is>
          <t>SKÅNE LÄN</t>
        </is>
      </c>
      <c r="G167" t="inlineStr">
        <is>
          <t>KLIPPAN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45223</v>
      </c>
      <c r="E168" s="1" t="n">
        <v>46241</v>
      </c>
      <c r="F168" t="inlineStr">
        <is>
          <t>SKÅNE LÄN</t>
        </is>
      </c>
      <c r="G168" t="inlineStr">
        <is>
          <t>KLIPPAN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45199</v>
      </c>
      <c r="E169" s="1" t="n">
        <v>46241</v>
      </c>
      <c r="F169" t="inlineStr">
        <is>
          <t>SKÅNE LÄN</t>
        </is>
      </c>
      <c r="G169" t="inlineStr">
        <is>
          <t>KLIPPAN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46241</v>
      </c>
      <c r="F170" t="inlineStr">
        <is>
          <t>SKÅNE LÄN</t>
        </is>
      </c>
      <c r="G170" t="inlineStr">
        <is>
          <t>KLIPPAN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46241</v>
      </c>
      <c r="F171" t="inlineStr">
        <is>
          <t>SKÅNE LÄN</t>
        </is>
      </c>
      <c r="G171" t="inlineStr">
        <is>
          <t>KLIPPAN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30240-2026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46241</v>
      </c>
      <c r="F172" t="inlineStr">
        <is>
          <t>SKÅNE LÄN</t>
        </is>
      </c>
      <c r="G172" t="inlineStr">
        <is>
          <t>KLIPPAN</t>
        </is>
      </c>
      <c r="H172" t="inlineStr">
        <is>
          <t>Övriga Aktiebolag</t>
        </is>
      </c>
      <c r="I172" t="n">
        <v>10.9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45104</v>
      </c>
      <c r="E173" s="1" t="n">
        <v>46241</v>
      </c>
      <c r="F173" t="inlineStr">
        <is>
          <t>SKÅNE LÄN</t>
        </is>
      </c>
      <c r="G173" t="inlineStr">
        <is>
          <t>KLIPPAN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39238-2022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46241</v>
      </c>
      <c r="F174" t="inlineStr">
        <is>
          <t>SKÅNE LÄN</t>
        </is>
      </c>
      <c r="G174" t="inlineStr">
        <is>
          <t>KLIPPAN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46241</v>
      </c>
      <c r="F175" t="inlineStr">
        <is>
          <t>SKÅNE LÄN</t>
        </is>
      </c>
      <c r="G175" t="inlineStr">
        <is>
          <t>KLIPPAN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46209</v>
      </c>
      <c r="E176" s="1" t="n">
        <v>46241</v>
      </c>
      <c r="F176" t="inlineStr">
        <is>
          <t>SKÅNE LÄN</t>
        </is>
      </c>
      <c r="G176" t="inlineStr">
        <is>
          <t>KLIPPAN</t>
        </is>
      </c>
      <c r="H176" t="inlineStr">
        <is>
          <t>Sveaskog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46241</v>
      </c>
      <c r="F177" t="inlineStr">
        <is>
          <t>SKÅNE LÄN</t>
        </is>
      </c>
      <c r="G177" t="inlineStr">
        <is>
          <t>KLIPPAN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30356-2026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46209</v>
      </c>
      <c r="E178" s="1" t="n">
        <v>46241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44659</v>
      </c>
      <c r="E179" s="1" t="n">
        <v>46241</v>
      </c>
      <c r="F179" t="inlineStr">
        <is>
          <t>SKÅNE LÄN</t>
        </is>
      </c>
      <c r="G179" t="inlineStr">
        <is>
          <t>KLIPPAN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46241</v>
      </c>
      <c r="F180" t="inlineStr">
        <is>
          <t>SKÅNE LÄN</t>
        </is>
      </c>
      <c r="G180" t="inlineStr">
        <is>
          <t>KLIPPAN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46241</v>
      </c>
      <c r="F181" t="inlineStr">
        <is>
          <t>SKÅNE LÄN</t>
        </is>
      </c>
      <c r="G181" t="inlineStr">
        <is>
          <t>KLIPPAN</t>
        </is>
      </c>
      <c r="I181" t="n">
        <v>17.2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46241</v>
      </c>
      <c r="F182" t="inlineStr">
        <is>
          <t>SKÅNE LÄN</t>
        </is>
      </c>
      <c r="G182" t="inlineStr">
        <is>
          <t>KLIPPAN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46241</v>
      </c>
      <c r="F183" t="inlineStr">
        <is>
          <t>SKÅNE LÄN</t>
        </is>
      </c>
      <c r="G183" t="inlineStr">
        <is>
          <t>KLIPPAN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46241</v>
      </c>
      <c r="F184" t="inlineStr">
        <is>
          <t>SKÅNE LÄN</t>
        </is>
      </c>
      <c r="G184" t="inlineStr">
        <is>
          <t>KLIPPAN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53289-2025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45958</v>
      </c>
      <c r="E185" s="1" t="n">
        <v>46241</v>
      </c>
      <c r="F185" t="inlineStr">
        <is>
          <t>SKÅNE LÄN</t>
        </is>
      </c>
      <c r="G185" t="inlineStr">
        <is>
          <t>KLIPPAN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46216</v>
      </c>
      <c r="E186" s="1" t="n">
        <v>46241</v>
      </c>
      <c r="F186" t="inlineStr">
        <is>
          <t>SKÅNE LÄN</t>
        </is>
      </c>
      <c r="G186" t="inlineStr">
        <is>
          <t>KLIPPAN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45660</v>
      </c>
      <c r="E187" s="1" t="n">
        <v>46241</v>
      </c>
      <c r="F187" t="inlineStr">
        <is>
          <t>SKÅNE LÄN</t>
        </is>
      </c>
      <c r="G187" t="inlineStr">
        <is>
          <t>KLIPPAN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40762-2021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44420</v>
      </c>
      <c r="E188" s="1" t="n">
        <v>46241</v>
      </c>
      <c r="F188" t="inlineStr">
        <is>
          <t>SKÅNE LÄN</t>
        </is>
      </c>
      <c r="G188" t="inlineStr">
        <is>
          <t>KLIPPAN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45442</v>
      </c>
      <c r="E189" s="1" t="n">
        <v>46241</v>
      </c>
      <c r="F189" t="inlineStr">
        <is>
          <t>SKÅNE LÄN</t>
        </is>
      </c>
      <c r="G189" t="inlineStr">
        <is>
          <t>KLIPPAN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31121-2026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46216</v>
      </c>
      <c r="E190" s="1" t="n">
        <v>46241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46728-2023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45198</v>
      </c>
      <c r="E191" s="1" t="n">
        <v>46241</v>
      </c>
      <c r="F191" t="inlineStr">
        <is>
          <t>SKÅNE LÄN</t>
        </is>
      </c>
      <c r="G191" t="inlineStr">
        <is>
          <t>KLIPPAN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46216</v>
      </c>
      <c r="E192" s="1" t="n">
        <v>46241</v>
      </c>
      <c r="F192" t="inlineStr">
        <is>
          <t>SKÅNE LÄN</t>
        </is>
      </c>
      <c r="G192" t="inlineStr">
        <is>
          <t>KLIPPAN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46241</v>
      </c>
      <c r="F193" t="inlineStr">
        <is>
          <t>SKÅNE LÄN</t>
        </is>
      </c>
      <c r="G193" t="inlineStr">
        <is>
          <t>KLIPPAN</t>
        </is>
      </c>
      <c r="I193" t="n">
        <v>7.8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46241</v>
      </c>
      <c r="F194" t="inlineStr">
        <is>
          <t>SKÅNE LÄN</t>
        </is>
      </c>
      <c r="G194" t="inlineStr">
        <is>
          <t>KLIPPAN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44726</v>
      </c>
      <c r="E195" s="1" t="n">
        <v>46241</v>
      </c>
      <c r="F195" t="inlineStr">
        <is>
          <t>SKÅNE LÄN</t>
        </is>
      </c>
      <c r="G195" t="inlineStr">
        <is>
          <t>KLIPPAN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46241</v>
      </c>
      <c r="F196" t="inlineStr">
        <is>
          <t>SKÅNE LÄN</t>
        </is>
      </c>
      <c r="G196" t="inlineStr">
        <is>
          <t>KLIPPAN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46241</v>
      </c>
      <c r="F197" t="inlineStr">
        <is>
          <t>SKÅNE LÄN</t>
        </is>
      </c>
      <c r="G197" t="inlineStr">
        <is>
          <t>KLIPPAN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46241</v>
      </c>
      <c r="F198" t="inlineStr">
        <is>
          <t>SKÅNE LÄN</t>
        </is>
      </c>
      <c r="G198" t="inlineStr">
        <is>
          <t>KLIPPAN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46241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46177</v>
      </c>
      <c r="E200" s="1" t="n">
        <v>46241</v>
      </c>
      <c r="F200" t="inlineStr">
        <is>
          <t>SKÅNE LÄN</t>
        </is>
      </c>
      <c r="G200" t="inlineStr">
        <is>
          <t>KLIPPAN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46241</v>
      </c>
      <c r="F201" t="inlineStr">
        <is>
          <t>SKÅNE LÄN</t>
        </is>
      </c>
      <c r="G201" t="inlineStr">
        <is>
          <t>KLIPPAN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46101</v>
      </c>
      <c r="E202" s="1" t="n">
        <v>46241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46241</v>
      </c>
      <c r="F203" t="inlineStr">
        <is>
          <t>SKÅNE LÄN</t>
        </is>
      </c>
      <c r="G203" t="inlineStr">
        <is>
          <t>KLIPPAN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46209</v>
      </c>
      <c r="E204" s="1" t="n">
        <v>46241</v>
      </c>
      <c r="F204" t="inlineStr">
        <is>
          <t>SKÅNE LÄN</t>
        </is>
      </c>
      <c r="G204" t="inlineStr">
        <is>
          <t>KLIPPAN</t>
        </is>
      </c>
      <c r="H204" t="inlineStr">
        <is>
          <t>Sveaskog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46241</v>
      </c>
      <c r="F205" t="inlineStr">
        <is>
          <t>SKÅNE LÄN</t>
        </is>
      </c>
      <c r="G205" t="inlineStr">
        <is>
          <t>KLIPPAN</t>
        </is>
      </c>
      <c r="H205" t="inlineStr">
        <is>
          <t>Övriga Aktiebolag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46241</v>
      </c>
      <c r="F206" t="inlineStr">
        <is>
          <t>SKÅNE LÄN</t>
        </is>
      </c>
      <c r="G206" t="inlineStr">
        <is>
          <t>KLIPPAN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45163</v>
      </c>
      <c r="E207" s="1" t="n">
        <v>46241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46241</v>
      </c>
      <c r="F208" t="inlineStr">
        <is>
          <t>SKÅNE LÄN</t>
        </is>
      </c>
      <c r="G208" t="inlineStr">
        <is>
          <t>KLIPPAN</t>
        </is>
      </c>
      <c r="H208" t="inlineStr">
        <is>
          <t>Övriga Aktiebolag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46241</v>
      </c>
      <c r="F209" t="inlineStr">
        <is>
          <t>SKÅNE LÄN</t>
        </is>
      </c>
      <c r="G209" t="inlineStr">
        <is>
          <t>KLIPPAN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46241</v>
      </c>
      <c r="F210" t="inlineStr">
        <is>
          <t>SKÅNE LÄN</t>
        </is>
      </c>
      <c r="G210" t="inlineStr">
        <is>
          <t>KLIPPAN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46241</v>
      </c>
      <c r="F211" t="inlineStr">
        <is>
          <t>SKÅNE LÄN</t>
        </is>
      </c>
      <c r="G211" t="inlineStr">
        <is>
          <t>KLIPPAN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30215-2026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46241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46210</v>
      </c>
      <c r="E213" s="1" t="n">
        <v>46241</v>
      </c>
      <c r="F213" t="inlineStr">
        <is>
          <t>SKÅNE LÄN</t>
        </is>
      </c>
      <c r="G213" t="inlineStr">
        <is>
          <t>KLIPPAN</t>
        </is>
      </c>
      <c r="H213" t="inlineStr">
        <is>
          <t>Övriga Aktiebolag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46241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64224-2023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46241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46241</v>
      </c>
      <c r="F216" t="inlineStr">
        <is>
          <t>SKÅNE LÄN</t>
        </is>
      </c>
      <c r="G216" t="inlineStr">
        <is>
          <t>KLIPPAN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46223</v>
      </c>
      <c r="E217" s="1" t="n">
        <v>46241</v>
      </c>
      <c r="F217" t="inlineStr">
        <is>
          <t>SKÅNE LÄN</t>
        </is>
      </c>
      <c r="G217" t="inlineStr">
        <is>
          <t>KLIPPAN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44697</v>
      </c>
      <c r="E218" s="1" t="n">
        <v>46241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46241</v>
      </c>
      <c r="F219" t="inlineStr">
        <is>
          <t>SKÅNE LÄN</t>
        </is>
      </c>
      <c r="G219" t="inlineStr">
        <is>
          <t>KLIPPAN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46241</v>
      </c>
      <c r="F220" t="inlineStr">
        <is>
          <t>SKÅNE LÄN</t>
        </is>
      </c>
      <c r="G220" t="inlineStr">
        <is>
          <t>KLIPPAN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44880</v>
      </c>
      <c r="E221" s="1" t="n">
        <v>46241</v>
      </c>
      <c r="F221" t="inlineStr">
        <is>
          <t>SKÅNE LÄN</t>
        </is>
      </c>
      <c r="G221" t="inlineStr">
        <is>
          <t>KLIPPAN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68856-2021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44530</v>
      </c>
      <c r="E222" s="1" t="n">
        <v>46241</v>
      </c>
      <c r="F222" t="inlineStr">
        <is>
          <t>SKÅNE LÄN</t>
        </is>
      </c>
      <c r="G222" t="inlineStr">
        <is>
          <t>KLIPPAN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46241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44593</v>
      </c>
      <c r="E224" s="1" t="n">
        <v>46241</v>
      </c>
      <c r="F224" t="inlineStr">
        <is>
          <t>SKÅNE LÄN</t>
        </is>
      </c>
      <c r="G224" t="inlineStr">
        <is>
          <t>KLIPPAN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46241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44817</v>
      </c>
      <c r="E226" s="1" t="n">
        <v>46241</v>
      </c>
      <c r="F226" t="inlineStr">
        <is>
          <t>SKÅNE LÄN</t>
        </is>
      </c>
      <c r="G226" t="inlineStr">
        <is>
          <t>KLIPPAN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44993</v>
      </c>
      <c r="E227" s="1" t="n">
        <v>46241</v>
      </c>
      <c r="F227" t="inlineStr">
        <is>
          <t>SKÅNE LÄN</t>
        </is>
      </c>
      <c r="G227" t="inlineStr">
        <is>
          <t>KLIPPAN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45161</v>
      </c>
      <c r="E228" s="1" t="n">
        <v>46241</v>
      </c>
      <c r="F228" t="inlineStr">
        <is>
          <t>SKÅNE LÄN</t>
        </is>
      </c>
      <c r="G228" t="inlineStr">
        <is>
          <t>KLIPPAN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46241</v>
      </c>
      <c r="F229" t="inlineStr">
        <is>
          <t>SKÅNE LÄN</t>
        </is>
      </c>
      <c r="G229" t="inlineStr">
        <is>
          <t>KLIPPAN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44593</v>
      </c>
      <c r="E230" s="1" t="n">
        <v>46241</v>
      </c>
      <c r="F230" t="inlineStr">
        <is>
          <t>SKÅNE LÄN</t>
        </is>
      </c>
      <c r="G230" t="inlineStr">
        <is>
          <t>KLIPPAN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52877-2022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44875</v>
      </c>
      <c r="E231" s="1" t="n">
        <v>46241</v>
      </c>
      <c r="F231" t="inlineStr">
        <is>
          <t>SKÅNE LÄN</t>
        </is>
      </c>
      <c r="G231" t="inlineStr">
        <is>
          <t>KLIPPAN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46241</v>
      </c>
      <c r="F232" t="inlineStr">
        <is>
          <t>SKÅNE LÄN</t>
        </is>
      </c>
      <c r="G232" t="inlineStr">
        <is>
          <t>KLIPPAN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45581</v>
      </c>
      <c r="E233" s="1" t="n">
        <v>46241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46241</v>
      </c>
      <c r="F234" t="inlineStr">
        <is>
          <t>SKÅNE LÄN</t>
        </is>
      </c>
      <c r="G234" t="inlineStr">
        <is>
          <t>KLIPPAN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44944</v>
      </c>
      <c r="E235" s="1" t="n">
        <v>46241</v>
      </c>
      <c r="F235" t="inlineStr">
        <is>
          <t>SKÅNE LÄN</t>
        </is>
      </c>
      <c r="G235" t="inlineStr">
        <is>
          <t>KLIPPAN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45077</v>
      </c>
      <c r="E236" s="1" t="n">
        <v>46241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46241</v>
      </c>
      <c r="F237" t="inlineStr">
        <is>
          <t>SKÅNE LÄN</t>
        </is>
      </c>
      <c r="G237" t="inlineStr">
        <is>
          <t>KLIPPAN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34051-2024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45523</v>
      </c>
      <c r="E238" s="1" t="n">
        <v>46241</v>
      </c>
      <c r="F238" t="inlineStr">
        <is>
          <t>SKÅNE LÄN</t>
        </is>
      </c>
      <c r="G238" t="inlineStr">
        <is>
          <t>KLIPPAN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45224</v>
      </c>
      <c r="E239" s="1" t="n">
        <v>46241</v>
      </c>
      <c r="F239" t="inlineStr">
        <is>
          <t>SKÅNE LÄN</t>
        </is>
      </c>
      <c r="G239" t="inlineStr">
        <is>
          <t>KLIPPAN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44855</v>
      </c>
      <c r="E240" s="1" t="n">
        <v>46241</v>
      </c>
      <c r="F240" t="inlineStr">
        <is>
          <t>SKÅNE LÄN</t>
        </is>
      </c>
      <c r="G240" t="inlineStr">
        <is>
          <t>KLIPPAN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45399</v>
      </c>
      <c r="E241" s="1" t="n">
        <v>46241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45751</v>
      </c>
      <c r="E242" s="1" t="n">
        <v>46241</v>
      </c>
      <c r="F242" t="inlineStr">
        <is>
          <t>SKÅNE LÄN</t>
        </is>
      </c>
      <c r="G242" t="inlineStr">
        <is>
          <t>KLIPPAN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45739</v>
      </c>
      <c r="E243" s="1" t="n">
        <v>46241</v>
      </c>
      <c r="F243" t="inlineStr">
        <is>
          <t>SKÅNE LÄN</t>
        </is>
      </c>
      <c r="G243" t="inlineStr">
        <is>
          <t>KLIPPAN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44991</v>
      </c>
      <c r="E244" s="1" t="n">
        <v>46241</v>
      </c>
      <c r="F244" t="inlineStr">
        <is>
          <t>SKÅNE LÄN</t>
        </is>
      </c>
      <c r="G244" t="inlineStr">
        <is>
          <t>KLIPPAN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45579</v>
      </c>
      <c r="E245" s="1" t="n">
        <v>46241</v>
      </c>
      <c r="F245" t="inlineStr">
        <is>
          <t>SKÅNE LÄN</t>
        </is>
      </c>
      <c r="G245" t="inlineStr">
        <is>
          <t>KLIPPAN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15812-2024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46241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45086</v>
      </c>
      <c r="E247" s="1" t="n">
        <v>46241</v>
      </c>
      <c r="F247" t="inlineStr">
        <is>
          <t>SKÅNE LÄN</t>
        </is>
      </c>
      <c r="G247" t="inlineStr">
        <is>
          <t>KLIPPAN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46241</v>
      </c>
      <c r="F248" t="inlineStr">
        <is>
          <t>SKÅNE LÄN</t>
        </is>
      </c>
      <c r="G248" t="inlineStr">
        <is>
          <t>KLIPPAN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46241</v>
      </c>
      <c r="F249" t="inlineStr">
        <is>
          <t>SKÅNE LÄN</t>
        </is>
      </c>
      <c r="G249" t="inlineStr">
        <is>
          <t>KLIPPAN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45349</v>
      </c>
      <c r="E250" s="1" t="n">
        <v>46241</v>
      </c>
      <c r="F250" t="inlineStr">
        <is>
          <t>SKÅNE LÄN</t>
        </is>
      </c>
      <c r="G250" t="inlineStr">
        <is>
          <t>KLIPPAN</t>
        </is>
      </c>
      <c r="H250" t="inlineStr">
        <is>
          <t>Övriga Aktiebolag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45554</v>
      </c>
      <c r="E251" s="1" t="n">
        <v>46241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44883</v>
      </c>
      <c r="E252" s="1" t="n">
        <v>46241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46241</v>
      </c>
      <c r="F253" t="inlineStr">
        <is>
          <t>SKÅNE LÄN</t>
        </is>
      </c>
      <c r="G253" t="inlineStr">
        <is>
          <t>KLIPPAN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46241</v>
      </c>
      <c r="F254" t="inlineStr">
        <is>
          <t>SKÅNE LÄN</t>
        </is>
      </c>
      <c r="G254" t="inlineStr">
        <is>
          <t>KLIPPAN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44228-2024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45573</v>
      </c>
      <c r="E255" s="1" t="n">
        <v>46241</v>
      </c>
      <c r="F255" t="inlineStr">
        <is>
          <t>SKÅNE LÄN</t>
        </is>
      </c>
      <c r="G255" t="inlineStr">
        <is>
          <t>KLIPPAN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69394-2021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46241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46241</v>
      </c>
      <c r="F257" t="inlineStr">
        <is>
          <t>SKÅNE LÄN</t>
        </is>
      </c>
      <c r="G257" t="inlineStr">
        <is>
          <t>KLIPPAN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45721</v>
      </c>
      <c r="E258" s="1" t="n">
        <v>46241</v>
      </c>
      <c r="F258" t="inlineStr">
        <is>
          <t>SKÅNE LÄN</t>
        </is>
      </c>
      <c r="G258" t="inlineStr">
        <is>
          <t>KLIPPAN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45638</v>
      </c>
      <c r="E259" s="1" t="n">
        <v>46241</v>
      </c>
      <c r="F259" t="inlineStr">
        <is>
          <t>SKÅNE LÄN</t>
        </is>
      </c>
      <c r="G259" t="inlineStr">
        <is>
          <t>KLIPPAN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45094</v>
      </c>
      <c r="E260" s="1" t="n">
        <v>46241</v>
      </c>
      <c r="F260" t="inlineStr">
        <is>
          <t>SKÅNE LÄN</t>
        </is>
      </c>
      <c r="G260" t="inlineStr">
        <is>
          <t>KLIPPAN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29284-2025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45824</v>
      </c>
      <c r="E261" s="1" t="n">
        <v>46241</v>
      </c>
      <c r="F261" t="inlineStr">
        <is>
          <t>SKÅNE LÄN</t>
        </is>
      </c>
      <c r="G261" t="inlineStr">
        <is>
          <t>KLIPPAN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32132-2025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46241</v>
      </c>
      <c r="F262" t="inlineStr">
        <is>
          <t>SKÅNE LÄN</t>
        </is>
      </c>
      <c r="G262" t="inlineStr">
        <is>
          <t>KLIPPAN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704-2022</t>
        </is>
      </c>
      <c r="B263" t="inlineStr">
        <is>
          <t>samrådsanmälan</t>
        </is>
      </c>
      <c r="C263" t="inlineStr">
        <is>
          <t>Skogsbilväg</t>
        </is>
      </c>
      <c r="D263" s="1" t="n">
        <v>44599</v>
      </c>
      <c r="E263" s="1" t="n">
        <v>46241</v>
      </c>
      <c r="F263" t="inlineStr">
        <is>
          <t>SKÅNE LÄN</t>
        </is>
      </c>
      <c r="G263" t="inlineStr">
        <is>
          <t>KLIPPAN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2678-2022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44701</v>
      </c>
      <c r="E264" s="1" t="n">
        <v>46241</v>
      </c>
      <c r="F264" t="inlineStr">
        <is>
          <t>SKÅNE LÄN</t>
        </is>
      </c>
      <c r="G264" t="inlineStr">
        <is>
          <t>KLIPPAN</t>
        </is>
      </c>
      <c r="I264" t="n">
        <v>15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2690-2022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44701</v>
      </c>
      <c r="E265" s="1" t="n">
        <v>46241</v>
      </c>
      <c r="F265" t="inlineStr">
        <is>
          <t>SKÅNE LÄN</t>
        </is>
      </c>
      <c r="G265" t="inlineStr">
        <is>
          <t>KLIPPAN</t>
        </is>
      </c>
      <c r="I265" t="n">
        <v>16.3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3541-2023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45209</v>
      </c>
      <c r="E266" s="1" t="n">
        <v>46241</v>
      </c>
      <c r="F266" t="inlineStr">
        <is>
          <t>SKÅNE LÄN</t>
        </is>
      </c>
      <c r="G266" t="inlineStr">
        <is>
          <t>KLIPPAN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5970-2022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44858</v>
      </c>
      <c r="E267" s="1" t="n">
        <v>46241</v>
      </c>
      <c r="F267" t="inlineStr">
        <is>
          <t>SKÅNE LÄN</t>
        </is>
      </c>
      <c r="G267" t="inlineStr">
        <is>
          <t>KLIPPAN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116-2023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44936</v>
      </c>
      <c r="E268" s="1" t="n">
        <v>46241</v>
      </c>
      <c r="F268" t="inlineStr">
        <is>
          <t>SKÅNE LÄN</t>
        </is>
      </c>
      <c r="G268" t="inlineStr">
        <is>
          <t>KLIPPAN</t>
        </is>
      </c>
      <c r="I268" t="n">
        <v>51.8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525-2024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45348</v>
      </c>
      <c r="E269" s="1" t="n">
        <v>46241</v>
      </c>
      <c r="F269" t="inlineStr">
        <is>
          <t>SKÅNE LÄN</t>
        </is>
      </c>
      <c r="G269" t="inlineStr">
        <is>
          <t>KLIPPAN</t>
        </is>
      </c>
      <c r="I269" t="n">
        <v>22.3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46241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1713-2024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46241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3796-2024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46241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3804-2024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46241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46241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46241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46241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46241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2225-2023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45109</v>
      </c>
      <c r="E278" s="1" t="n">
        <v>46241</v>
      </c>
      <c r="F278" t="inlineStr">
        <is>
          <t>SKÅNE LÄN</t>
        </is>
      </c>
      <c r="G278" t="inlineStr">
        <is>
          <t>KLIPPAN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5892-2022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44853</v>
      </c>
      <c r="E279" s="1" t="n">
        <v>46241</v>
      </c>
      <c r="F279" t="inlineStr">
        <is>
          <t>SKÅNE LÄN</t>
        </is>
      </c>
      <c r="G279" t="inlineStr">
        <is>
          <t>KLIPPAN</t>
        </is>
      </c>
      <c r="I279" t="n">
        <v>24.6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5986-2022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44859</v>
      </c>
      <c r="E280" s="1" t="n">
        <v>46241</v>
      </c>
      <c r="F280" t="inlineStr">
        <is>
          <t>SKÅNE LÄN</t>
        </is>
      </c>
      <c r="G280" t="inlineStr">
        <is>
          <t>KLIPPAN</t>
        </is>
      </c>
      <c r="I280" t="n">
        <v>19.6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4186-2024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45579</v>
      </c>
      <c r="E281" s="1" t="n">
        <v>46241</v>
      </c>
      <c r="F281" t="inlineStr">
        <is>
          <t>SKÅNE LÄN</t>
        </is>
      </c>
      <c r="G281" t="inlineStr">
        <is>
          <t>KLIPPAN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3806-2024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46241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1606-2025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45798</v>
      </c>
      <c r="E283" s="1" t="n">
        <v>46241</v>
      </c>
      <c r="F283" t="inlineStr">
        <is>
          <t>SKÅNE LÄN</t>
        </is>
      </c>
      <c r="G283" t="inlineStr">
        <is>
          <t>KLIPPAN</t>
        </is>
      </c>
      <c r="I283" t="n">
        <v>11.7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2907-2025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45947</v>
      </c>
      <c r="E284" s="1" t="n">
        <v>46241</v>
      </c>
      <c r="F284" t="inlineStr">
        <is>
          <t>SKÅNE LÄN</t>
        </is>
      </c>
      <c r="G284" t="inlineStr">
        <is>
          <t>KLIPPAN</t>
        </is>
      </c>
      <c r="I284" t="n">
        <v>48.2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83-2026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46034</v>
      </c>
      <c r="E285" s="1" t="n">
        <v>46241</v>
      </c>
      <c r="F285" t="inlineStr">
        <is>
          <t>SKÅNE LÄN</t>
        </is>
      </c>
      <c r="G285" t="inlineStr">
        <is>
          <t>KLIPPAN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166-2026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46044</v>
      </c>
      <c r="E286" s="1" t="n">
        <v>46241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2022-2026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46241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14.3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46241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46241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2026-08-07T01:55:10Z</dcterms:created>
  <dcterms:modified xmlns:dcterms="http://purl.org/dc/terms/" xmlns:xsi="http://www.w3.org/2001/XMLSchema-instance" xsi:type="dcterms:W3CDTF">2026-08-07T01:55:10Z</dcterms:modified>
</cp:coreProperties>
</file>