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46298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46298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46298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46298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46298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46298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46298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46298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46298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46298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46298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46298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46298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46298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46298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46298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46298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46298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46298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44567-2025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46298</v>
      </c>
      <c r="F26" t="inlineStr">
        <is>
          <t>SKÅNE LÄN</t>
        </is>
      </c>
      <c r="G26" t="inlineStr">
        <is>
          <t>KLIPPAN</t>
        </is>
      </c>
      <c r="I26" t="n">
        <v>17.3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Grönsiska
Kråka</t>
        </is>
      </c>
      <c r="W26">
        <f>HYPERLINK("https://klasma.github.io/Logging_1276/artfynd/A 44567-2025 artfynd.xlsx", "A 44567-2025")</f>
        <v/>
      </c>
      <c r="X26">
        <f>HYPERLINK("https://klasma.github.io/Logging_1276/kartor/A 44567-2025 karta.png", "A 44567-2025")</f>
        <v/>
      </c>
      <c r="Y26">
        <f>HYPERLINK("https://klasma.github.io/Logging_1276/kartor_geotiff/A 44567-2025 georefererad karta.tif", "A 44567-2025")</f>
        <v/>
      </c>
      <c r="AA26">
        <f>HYPERLINK("https://klasma.github.io/Logging_1276/klagomål/A 44567-2025 FSC-klagomål.docx", "A 44567-2025")</f>
        <v/>
      </c>
      <c r="AB26">
        <f>HYPERLINK("https://klasma.github.io/Logging_1276/klagomålsmail/A 44567-2025 FSC-klagomål mail.docx", "A 44567-2025")</f>
        <v/>
      </c>
      <c r="AC26">
        <f>HYPERLINK("https://klasma.github.io/Logging_1276/tillsyn/A 44567-2025 tillsynsbegäran.docx", "A 44567-2025")</f>
        <v/>
      </c>
      <c r="AD26">
        <f>HYPERLINK("https://klasma.github.io/Logging_1276/tillsynsmail/A 44567-2025 tillsynsbegäran mail.docx", "A 44567-2025")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46298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46298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46298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46298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46298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46298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46298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46298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46298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14892-2023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46298</v>
      </c>
      <c r="F36" t="inlineStr">
        <is>
          <t>SKÅNE LÄN</t>
        </is>
      </c>
      <c r="G36" t="inlineStr">
        <is>
          <t>KLIPPAN</t>
        </is>
      </c>
      <c r="I36" t="n">
        <v>2.7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14892-2023 artfynd.xlsx", "A 14892-2023")</f>
        <v/>
      </c>
      <c r="X36">
        <f>HYPERLINK("https://klasma.github.io/Logging_1276/kartor/A 14892-2023 karta.png", "A 14892-2023")</f>
        <v/>
      </c>
      <c r="Y36">
        <f>HYPERLINK("https://klasma.github.io/Logging_1276/kartor_geotiff/A 14892-2023 georefererad karta.tif", "A 14892-2023")</f>
        <v/>
      </c>
      <c r="AA36">
        <f>HYPERLINK("https://klasma.github.io/Logging_1276/klagomål/A 14892-2023 FSC-klagomål.docx", "A 14892-2023")</f>
        <v/>
      </c>
      <c r="AB36">
        <f>HYPERLINK("https://klasma.github.io/Logging_1276/klagomålsmail/A 14892-2023 FSC-klagomål mail.docx", "A 14892-2023")</f>
        <v/>
      </c>
      <c r="AC36">
        <f>HYPERLINK("https://klasma.github.io/Logging_1276/tillsyn/A 14892-2023 tillsynsbegäran.docx", "A 14892-2023")</f>
        <v/>
      </c>
      <c r="AD36">
        <f>HYPERLINK("https://klasma.github.io/Logging_1276/tillsynsmail/A 14892-2023 tillsynsbegäran mail.docx", "A 14892-2023")</f>
        <v/>
      </c>
      <c r="AE36">
        <f>HYPERLINK("https://klasma.github.io/Logging_1276/fåglar/A 14892-2023 prioriterade fågelarter.docx", "A 14892-2023")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46298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46298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46298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46298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46298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31279-2026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46298</v>
      </c>
      <c r="F42" t="inlineStr">
        <is>
          <t>SKÅNE LÄN</t>
        </is>
      </c>
      <c r="G42" t="inlineStr">
        <is>
          <t>KLIPPAN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31279-2026 artfynd.xlsx", "A 31279-2026")</f>
        <v/>
      </c>
      <c r="X42">
        <f>HYPERLINK("https://klasma.github.io/Logging_1276/kartor/A 31279-2026 karta.png", "A 31279-2026")</f>
        <v/>
      </c>
      <c r="Y42">
        <f>HYPERLINK("https://klasma.github.io/Logging_1276/kartor_geotiff/A 31279-2026 georefererad karta.tif", "A 31279-2026")</f>
        <v/>
      </c>
      <c r="AA42">
        <f>HYPERLINK("https://klasma.github.io/Logging_1276/klagomål/A 31279-2026 FSC-klagomål.docx", "A 31279-2026")</f>
        <v/>
      </c>
      <c r="AB42">
        <f>HYPERLINK("https://klasma.github.io/Logging_1276/klagomålsmail/A 31279-2026 FSC-klagomål mail.docx", "A 31279-2026")</f>
        <v/>
      </c>
      <c r="AC42">
        <f>HYPERLINK("https://klasma.github.io/Logging_1276/tillsyn/A 31279-2026 tillsynsbegäran.docx", "A 31279-2026")</f>
        <v/>
      </c>
      <c r="AD42">
        <f>HYPERLINK("https://klasma.github.io/Logging_1276/tillsynsmail/A 31279-2026 tillsynsbegäran mail.docx", "A 31279-2026")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46298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37224-2026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46298</v>
      </c>
      <c r="F44" t="inlineStr">
        <is>
          <t>SKÅNE LÄN</t>
        </is>
      </c>
      <c r="G44" t="inlineStr">
        <is>
          <t>KLIPPAN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Vanlig groda</t>
        </is>
      </c>
      <c r="W44">
        <f>HYPERLINK("https://klasma.github.io/Logging_1276/artfynd/A 37224-2026 artfynd.xlsx", "A 37224-2026")</f>
        <v/>
      </c>
      <c r="X44">
        <f>HYPERLINK("https://klasma.github.io/Logging_1276/kartor/A 37224-2026 karta.png", "A 37224-2026")</f>
        <v/>
      </c>
      <c r="Y44">
        <f>HYPERLINK("https://klasma.github.io/Logging_1276/kartor_geotiff/A 37224-2026 georefererad karta.tif", "A 37224-2026")</f>
        <v/>
      </c>
      <c r="AA44">
        <f>HYPERLINK("https://klasma.github.io/Logging_1276/klagomål/A 37224-2026 FSC-klagomål.docx", "A 37224-2026")</f>
        <v/>
      </c>
      <c r="AB44">
        <f>HYPERLINK("https://klasma.github.io/Logging_1276/klagomålsmail/A 37224-2026 FSC-klagomål mail.docx", "A 37224-2026")</f>
        <v/>
      </c>
      <c r="AC44">
        <f>HYPERLINK("https://klasma.github.io/Logging_1276/tillsyn/A 37224-2026 tillsynsbegäran.docx", "A 37224-2026")</f>
        <v/>
      </c>
      <c r="AD44">
        <f>HYPERLINK("https://klasma.github.io/Logging_1276/tillsynsmail/A 37224-2026 tillsynsbegäran mail.docx", "A 37224-2026")</f>
        <v/>
      </c>
    </row>
    <row r="45" ht="15" customHeight="1">
      <c r="A45" t="inlineStr">
        <is>
          <t>A 10000-2025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46298</v>
      </c>
      <c r="F45" t="inlineStr">
        <is>
          <t>SKÅNE LÄN</t>
        </is>
      </c>
      <c r="G45" t="inlineStr">
        <is>
          <t>KLIPPAN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10000-2025 artfynd.xlsx", "A 10000-2025")</f>
        <v/>
      </c>
      <c r="X45">
        <f>HYPERLINK("https://klasma.github.io/Logging_1276/kartor/A 10000-2025 karta.png", "A 10000-2025")</f>
        <v/>
      </c>
      <c r="Y45">
        <f>HYPERLINK("https://klasma.github.io/Logging_1276/kartor_geotiff/A 10000-2025 georefererad karta.tif", "A 10000-2025")</f>
        <v/>
      </c>
      <c r="AA45">
        <f>HYPERLINK("https://klasma.github.io/Logging_1276/klagomål/A 10000-2025 FSC-klagomål.docx", "A 10000-2025")</f>
        <v/>
      </c>
      <c r="AB45">
        <f>HYPERLINK("https://klasma.github.io/Logging_1276/klagomålsmail/A 10000-2025 FSC-klagomål mail.docx", "A 10000-2025")</f>
        <v/>
      </c>
      <c r="AC45">
        <f>HYPERLINK("https://klasma.github.io/Logging_1276/tillsyn/A 10000-2025 tillsynsbegäran.docx", "A 10000-2025")</f>
        <v/>
      </c>
      <c r="AD45">
        <f>HYPERLINK("https://klasma.github.io/Logging_1276/tillsynsmail/A 10000-2025 tillsynsbegäran mail.docx", "A 10000-2025")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46298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841-2023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44992</v>
      </c>
      <c r="E47" s="1" t="n">
        <v>46298</v>
      </c>
      <c r="F47" t="inlineStr">
        <is>
          <t>SKÅNE LÄN</t>
        </is>
      </c>
      <c r="G47" t="inlineStr">
        <is>
          <t>KLIPPAN</t>
        </is>
      </c>
      <c r="I47" t="n">
        <v>23.9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HYPERLINK("https://klasma.github.io/Logging_1276/artfynd/S 841-2023 artfynd.xlsx", "S 841-2023")</f>
        <v/>
      </c>
      <c r="X47">
        <f>HYPERLINK("https://klasma.github.io/Logging_1276/kartor/S 841-2023 karta.png", "S 841-2023")</f>
        <v/>
      </c>
      <c r="Y47">
        <f>HYPERLINK("https://klasma.github.io/Logging_1276/kartor_geotiff/S 841-2023 georefererad karta.tif", "S 841-2023")</f>
        <v/>
      </c>
      <c r="AA47">
        <f>HYPERLINK("https://klasma.github.io/Logging_1276/klagomål/S 841-2023 FSC-klagomål.docx", "S 841-2023")</f>
        <v/>
      </c>
      <c r="AB47">
        <f>HYPERLINK("https://klasma.github.io/Logging_1276/klagomålsmail/S 841-2023 FSC-klagomål mail.docx", "S 841-2023")</f>
        <v/>
      </c>
      <c r="AC47">
        <f>HYPERLINK("https://klasma.github.io/Logging_1276/tillsyn/S 841-2023 tillsynsbegäran.docx", "S 841-2023")</f>
        <v/>
      </c>
      <c r="AD47">
        <f>HYPERLINK("https://klasma.github.io/Logging_1276/tillsynsmail/S 841-2023 tillsynsbegäran mail.docx", "S 841-2023")</f>
        <v/>
      </c>
    </row>
    <row r="48" ht="15" customHeight="1">
      <c r="A48" t="inlineStr">
        <is>
          <t>S 3667-2023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45217</v>
      </c>
      <c r="E48" s="1" t="n">
        <v>46298</v>
      </c>
      <c r="F48" t="inlineStr">
        <is>
          <t>SKÅNE LÄN</t>
        </is>
      </c>
      <c r="G48" t="inlineStr">
        <is>
          <t>KLIPPAN</t>
        </is>
      </c>
      <c r="I48" t="n">
        <v>186.4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Skogsalm</t>
        </is>
      </c>
      <c r="W48">
        <f>HYPERLINK("https://klasma.github.io/Logging_1276/artfynd/S 3667-2023 artfynd.xlsx", "S 3667-2023")</f>
        <v/>
      </c>
      <c r="X48">
        <f>HYPERLINK("https://klasma.github.io/Logging_1276/kartor/S 3667-2023 karta.png", "S 3667-2023")</f>
        <v/>
      </c>
      <c r="Y48">
        <f>HYPERLINK("https://klasma.github.io/Logging_1276/kartor_geotiff/S 3667-2023 georefererad karta.tif", "S 3667-2023")</f>
        <v/>
      </c>
      <c r="AA48">
        <f>HYPERLINK("https://klasma.github.io/Logging_1276/klagomål/S 3667-2023 FSC-klagomål.docx", "S 3667-2023")</f>
        <v/>
      </c>
      <c r="AB48">
        <f>HYPERLINK("https://klasma.github.io/Logging_1276/klagomålsmail/S 3667-2023 FSC-klagomål mail.docx", "S 3667-2023")</f>
        <v/>
      </c>
      <c r="AC48">
        <f>HYPERLINK("https://klasma.github.io/Logging_1276/tillsyn/S 3667-2023 tillsynsbegäran.docx", "S 3667-2023")</f>
        <v/>
      </c>
      <c r="AD48">
        <f>HYPERLINK("https://klasma.github.io/Logging_1276/tillsynsmail/S 3667-2023 tillsynsbegäran mail.docx", "S 3667-2023")</f>
        <v/>
      </c>
    </row>
    <row r="49" ht="15" customHeight="1">
      <c r="A49" t="inlineStr">
        <is>
          <t>S 5988-2022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44859</v>
      </c>
      <c r="E49" s="1" t="n">
        <v>46298</v>
      </c>
      <c r="F49" t="inlineStr">
        <is>
          <t>SKÅNE LÄN</t>
        </is>
      </c>
      <c r="G49" t="inlineStr">
        <is>
          <t>KLIPPAN</t>
        </is>
      </c>
      <c r="I49" t="n">
        <v>27.8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HYPERLINK("https://klasma.github.io/Logging_1276/artfynd/S 5988-2022 artfynd.xlsx", "S 5988-2022")</f>
        <v/>
      </c>
      <c r="X49">
        <f>HYPERLINK("https://klasma.github.io/Logging_1276/kartor/S 5988-2022 karta.png", "S 5988-2022")</f>
        <v/>
      </c>
      <c r="Y49">
        <f>HYPERLINK("https://klasma.github.io/Logging_1276/kartor_geotiff/S 5988-2022 georefererad karta.tif", "S 5988-2022")</f>
        <v/>
      </c>
      <c r="AA49">
        <f>HYPERLINK("https://klasma.github.io/Logging_1276/klagomål/S 5988-2022 FSC-klagomål.docx", "S 5988-2022")</f>
        <v/>
      </c>
      <c r="AB49">
        <f>HYPERLINK("https://klasma.github.io/Logging_1276/klagomålsmail/S 5988-2022 FSC-klagomål mail.docx", "S 5988-2022")</f>
        <v/>
      </c>
      <c r="AC49">
        <f>HYPERLINK("https://klasma.github.io/Logging_1276/tillsyn/S 5988-2022 tillsynsbegäran.docx", "S 5988-2022")</f>
        <v/>
      </c>
      <c r="AD49">
        <f>HYPERLINK("https://klasma.github.io/Logging_1276/tillsynsmail/S 5988-2022 tillsynsbegäran mail.docx", "S 5988-2022")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46298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46298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46298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46298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46298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46298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46298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46298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46298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46298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46298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46298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46298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46298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46298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46298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46298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46298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46298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46298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45660</v>
      </c>
      <c r="E72" s="1" t="n">
        <v>46298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46298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46298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46298</v>
      </c>
      <c r="F75" t="inlineStr">
        <is>
          <t>SKÅNE LÄN</t>
        </is>
      </c>
      <c r="G75" t="inlineStr">
        <is>
          <t>KLIPPAN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46298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46298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46298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46298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46298</v>
      </c>
      <c r="F80" t="inlineStr">
        <is>
          <t>SKÅNE LÄN</t>
        </is>
      </c>
      <c r="G80" t="inlineStr">
        <is>
          <t>KLIPPAN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46298</v>
      </c>
      <c r="F81" t="inlineStr">
        <is>
          <t>SKÅNE LÄN</t>
        </is>
      </c>
      <c r="G81" t="inlineStr">
        <is>
          <t>KLIPPAN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33331-2024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45519</v>
      </c>
      <c r="E82" s="1" t="n">
        <v>46298</v>
      </c>
      <c r="F82" t="inlineStr">
        <is>
          <t>SKÅNE LÄN</t>
        </is>
      </c>
      <c r="G82" t="inlineStr">
        <is>
          <t>KLIPPAN</t>
        </is>
      </c>
      <c r="H82" t="inlineStr">
        <is>
          <t>Sveaskog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46298</v>
      </c>
      <c r="F83" t="inlineStr">
        <is>
          <t>SKÅNE LÄN</t>
        </is>
      </c>
      <c r="G83" t="inlineStr">
        <is>
          <t>KLIPPAN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36606-2024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45537</v>
      </c>
      <c r="E84" s="1" t="n">
        <v>46298</v>
      </c>
      <c r="F84" t="inlineStr">
        <is>
          <t>SKÅNE LÄN</t>
        </is>
      </c>
      <c r="G84" t="inlineStr">
        <is>
          <t>KLIPPAN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46298</v>
      </c>
      <c r="F85" t="inlineStr">
        <is>
          <t>SKÅNE LÄN</t>
        </is>
      </c>
      <c r="G85" t="inlineStr">
        <is>
          <t>KLIPPAN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46298</v>
      </c>
      <c r="F86" t="inlineStr">
        <is>
          <t>SKÅNE LÄN</t>
        </is>
      </c>
      <c r="G86" t="inlineStr">
        <is>
          <t>KLIPPAN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46298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46298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46298</v>
      </c>
      <c r="F89" t="inlineStr">
        <is>
          <t>SKÅNE LÄN</t>
        </is>
      </c>
      <c r="G89" t="inlineStr">
        <is>
          <t>KLIPPAN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45163</v>
      </c>
      <c r="E90" s="1" t="n">
        <v>46298</v>
      </c>
      <c r="F90" t="inlineStr">
        <is>
          <t>SKÅNE LÄN</t>
        </is>
      </c>
      <c r="G90" t="inlineStr">
        <is>
          <t>KLIPPAN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46298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46298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46298</v>
      </c>
      <c r="F93" t="inlineStr">
        <is>
          <t>SKÅNE LÄN</t>
        </is>
      </c>
      <c r="G93" t="inlineStr">
        <is>
          <t>KLIPPAN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46298</v>
      </c>
      <c r="F94" t="inlineStr">
        <is>
          <t>SKÅNE LÄN</t>
        </is>
      </c>
      <c r="G94" t="inlineStr">
        <is>
          <t>KLIPPAN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46298</v>
      </c>
      <c r="F95" t="inlineStr">
        <is>
          <t>SKÅNE LÄN</t>
        </is>
      </c>
      <c r="G95" t="inlineStr">
        <is>
          <t>KLIPPAN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46298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46298</v>
      </c>
      <c r="F97" t="inlineStr">
        <is>
          <t>SKÅNE LÄN</t>
        </is>
      </c>
      <c r="G97" t="inlineStr">
        <is>
          <t>KLIPPAN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46298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46298</v>
      </c>
      <c r="F99" t="inlineStr">
        <is>
          <t>SKÅNE LÄN</t>
        </is>
      </c>
      <c r="G99" t="inlineStr">
        <is>
          <t>KLIPPAN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46298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46298</v>
      </c>
      <c r="F101" t="inlineStr">
        <is>
          <t>SKÅNE LÄN</t>
        </is>
      </c>
      <c r="G101" t="inlineStr">
        <is>
          <t>KLIPPAN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46298</v>
      </c>
      <c r="F102" t="inlineStr">
        <is>
          <t>SKÅNE LÄN</t>
        </is>
      </c>
      <c r="G102" t="inlineStr">
        <is>
          <t>KLIPPAN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46298</v>
      </c>
      <c r="F103" t="inlineStr">
        <is>
          <t>SKÅNE LÄN</t>
        </is>
      </c>
      <c r="G103" t="inlineStr">
        <is>
          <t>KLIPPAN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46298</v>
      </c>
      <c r="F104" t="inlineStr">
        <is>
          <t>SKÅNE LÄN</t>
        </is>
      </c>
      <c r="G104" t="inlineStr">
        <is>
          <t>KLIPPAN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46298</v>
      </c>
      <c r="F105" t="inlineStr">
        <is>
          <t>SKÅNE LÄN</t>
        </is>
      </c>
      <c r="G105" t="inlineStr">
        <is>
          <t>KLIPPAN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45260</v>
      </c>
      <c r="E106" s="1" t="n">
        <v>46298</v>
      </c>
      <c r="F106" t="inlineStr">
        <is>
          <t>SKÅNE LÄN</t>
        </is>
      </c>
      <c r="G106" t="inlineStr">
        <is>
          <t>KLIPPAN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46298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45077</v>
      </c>
      <c r="E108" s="1" t="n">
        <v>46298</v>
      </c>
      <c r="F108" t="inlineStr">
        <is>
          <t>SKÅNE LÄN</t>
        </is>
      </c>
      <c r="G108" t="inlineStr">
        <is>
          <t>KLIPPAN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46298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46298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46298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46298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46298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46298</v>
      </c>
      <c r="F114" t="inlineStr">
        <is>
          <t>SKÅNE LÄN</t>
        </is>
      </c>
      <c r="G114" t="inlineStr">
        <is>
          <t>KLIPPAN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46298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46298</v>
      </c>
      <c r="F116" t="inlineStr">
        <is>
          <t>SKÅNE LÄN</t>
        </is>
      </c>
      <c r="G116" t="inlineStr">
        <is>
          <t>KLIPPAN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46298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46298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46298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46298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46298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46298</v>
      </c>
      <c r="F122" t="inlineStr">
        <is>
          <t>SKÅNE LÄN</t>
        </is>
      </c>
      <c r="G122" t="inlineStr">
        <is>
          <t>KLIPPAN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46298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46298</v>
      </c>
      <c r="F124" t="inlineStr">
        <is>
          <t>SKÅNE LÄN</t>
        </is>
      </c>
      <c r="G124" t="inlineStr">
        <is>
          <t>KLIPPAN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45055</v>
      </c>
      <c r="E125" s="1" t="n">
        <v>46298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46298</v>
      </c>
      <c r="F126" t="inlineStr">
        <is>
          <t>SKÅNE LÄN</t>
        </is>
      </c>
      <c r="G126" t="inlineStr">
        <is>
          <t>KLIPPAN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46298</v>
      </c>
      <c r="F127" t="inlineStr">
        <is>
          <t>SKÅNE LÄN</t>
        </is>
      </c>
      <c r="G127" t="inlineStr">
        <is>
          <t>KLIPPAN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55588-2021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46298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46298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46298</v>
      </c>
      <c r="F130" t="inlineStr">
        <is>
          <t>SKÅNE LÄN</t>
        </is>
      </c>
      <c r="G130" t="inlineStr">
        <is>
          <t>KLIPPAN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46298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46298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46298</v>
      </c>
      <c r="F133" t="inlineStr">
        <is>
          <t>SKÅNE LÄN</t>
        </is>
      </c>
      <c r="G133" t="inlineStr">
        <is>
          <t>KLIPPAN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29284-2025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45824</v>
      </c>
      <c r="E134" s="1" t="n">
        <v>46298</v>
      </c>
      <c r="F134" t="inlineStr">
        <is>
          <t>SKÅNE LÄN</t>
        </is>
      </c>
      <c r="G134" t="inlineStr">
        <is>
          <t>KLIPPAN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46298</v>
      </c>
      <c r="F135" t="inlineStr">
        <is>
          <t>SKÅNE LÄN</t>
        </is>
      </c>
      <c r="G135" t="inlineStr">
        <is>
          <t>KLIPPAN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46298</v>
      </c>
      <c r="F136" t="inlineStr">
        <is>
          <t>SKÅNE LÄN</t>
        </is>
      </c>
      <c r="G136" t="inlineStr">
        <is>
          <t>KLIPPAN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46298</v>
      </c>
      <c r="F137" t="inlineStr">
        <is>
          <t>SKÅNE LÄN</t>
        </is>
      </c>
      <c r="G137" t="inlineStr">
        <is>
          <t>KLIPPAN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46298</v>
      </c>
      <c r="F138" t="inlineStr">
        <is>
          <t>SKÅNE LÄN</t>
        </is>
      </c>
      <c r="G138" t="inlineStr">
        <is>
          <t>KLIPPAN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55833-2023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45239</v>
      </c>
      <c r="E139" s="1" t="n">
        <v>46298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46298</v>
      </c>
      <c r="F140" t="inlineStr">
        <is>
          <t>SKÅNE LÄN</t>
        </is>
      </c>
      <c r="G140" t="inlineStr">
        <is>
          <t>KLIPPAN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46298</v>
      </c>
      <c r="F141" t="inlineStr">
        <is>
          <t>SKÅNE LÄN</t>
        </is>
      </c>
      <c r="G141" t="inlineStr">
        <is>
          <t>KLIPPAN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46298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46298</v>
      </c>
      <c r="F143" t="inlineStr">
        <is>
          <t>SKÅNE LÄN</t>
        </is>
      </c>
      <c r="G143" t="inlineStr">
        <is>
          <t>KLIPPAN</t>
        </is>
      </c>
      <c r="H143" t="inlineStr">
        <is>
          <t>Övriga Aktiebolag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46298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46298</v>
      </c>
      <c r="F145" t="inlineStr">
        <is>
          <t>SKÅNE LÄN</t>
        </is>
      </c>
      <c r="G145" t="inlineStr">
        <is>
          <t>KLIPPAN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46298</v>
      </c>
      <c r="F146" t="inlineStr">
        <is>
          <t>SKÅNE LÄN</t>
        </is>
      </c>
      <c r="G146" t="inlineStr">
        <is>
          <t>KLIPPAN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44944</v>
      </c>
      <c r="E147" s="1" t="n">
        <v>46298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46298</v>
      </c>
      <c r="F148" t="inlineStr">
        <is>
          <t>SKÅNE LÄN</t>
        </is>
      </c>
      <c r="G148" t="inlineStr">
        <is>
          <t>KLIPPAN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46298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46728-2023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45198</v>
      </c>
      <c r="E150" s="1" t="n">
        <v>46298</v>
      </c>
      <c r="F150" t="inlineStr">
        <is>
          <t>SKÅNE LÄN</t>
        </is>
      </c>
      <c r="G150" t="inlineStr">
        <is>
          <t>KLIPPAN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46298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46298</v>
      </c>
      <c r="F152" t="inlineStr">
        <is>
          <t>SKÅNE LÄN</t>
        </is>
      </c>
      <c r="G152" t="inlineStr">
        <is>
          <t>KLIPPAN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46298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46298</v>
      </c>
      <c r="F154" t="inlineStr">
        <is>
          <t>SKÅNE LÄN</t>
        </is>
      </c>
      <c r="G154" t="inlineStr">
        <is>
          <t>KLIPPAN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46298</v>
      </c>
      <c r="F155" t="inlineStr">
        <is>
          <t>SKÅNE LÄN</t>
        </is>
      </c>
      <c r="G155" t="inlineStr">
        <is>
          <t>KLIPPAN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46298</v>
      </c>
      <c r="F156" t="inlineStr">
        <is>
          <t>SKÅNE LÄN</t>
        </is>
      </c>
      <c r="G156" t="inlineStr">
        <is>
          <t>KLIPPAN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46298</v>
      </c>
      <c r="F157" t="inlineStr">
        <is>
          <t>SKÅNE LÄN</t>
        </is>
      </c>
      <c r="G157" t="inlineStr">
        <is>
          <t>KLIPPAN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46298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46298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46298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46298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46298</v>
      </c>
      <c r="F162" t="inlineStr">
        <is>
          <t>SKÅNE LÄN</t>
        </is>
      </c>
      <c r="G162" t="inlineStr">
        <is>
          <t>KLIPPAN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44616</v>
      </c>
      <c r="E163" s="1" t="n">
        <v>46298</v>
      </c>
      <c r="F163" t="inlineStr">
        <is>
          <t>SKÅNE LÄN</t>
        </is>
      </c>
      <c r="G163" t="inlineStr">
        <is>
          <t>KLIPPAN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46298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46298</v>
      </c>
      <c r="F165" t="inlineStr">
        <is>
          <t>SKÅNE LÄN</t>
        </is>
      </c>
      <c r="G165" t="inlineStr">
        <is>
          <t>KLIPPAN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46298</v>
      </c>
      <c r="F166" t="inlineStr">
        <is>
          <t>SKÅNE LÄN</t>
        </is>
      </c>
      <c r="G166" t="inlineStr">
        <is>
          <t>KLIPPAN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46298</v>
      </c>
      <c r="F167" t="inlineStr">
        <is>
          <t>SKÅNE LÄN</t>
        </is>
      </c>
      <c r="G167" t="inlineStr">
        <is>
          <t>KLIPPAN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46298</v>
      </c>
      <c r="F168" t="inlineStr">
        <is>
          <t>SKÅNE LÄN</t>
        </is>
      </c>
      <c r="G168" t="inlineStr">
        <is>
          <t>KLIPPAN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46298</v>
      </c>
      <c r="F169" t="inlineStr">
        <is>
          <t>SKÅNE LÄN</t>
        </is>
      </c>
      <c r="G169" t="inlineStr">
        <is>
          <t>KLIPPAN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46298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46298</v>
      </c>
      <c r="F171" t="inlineStr">
        <is>
          <t>SKÅNE LÄN</t>
        </is>
      </c>
      <c r="G171" t="inlineStr">
        <is>
          <t>KLIPPAN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46298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46298</v>
      </c>
      <c r="F173" t="inlineStr">
        <is>
          <t>SKÅNE LÄN</t>
        </is>
      </c>
      <c r="G173" t="inlineStr">
        <is>
          <t>KLIPPAN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46298</v>
      </c>
      <c r="F174" t="inlineStr">
        <is>
          <t>SKÅNE LÄN</t>
        </is>
      </c>
      <c r="G174" t="inlineStr">
        <is>
          <t>KLIPPAN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69041-2021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44529</v>
      </c>
      <c r="E175" s="1" t="n">
        <v>46298</v>
      </c>
      <c r="F175" t="inlineStr">
        <is>
          <t>SKÅNE LÄN</t>
        </is>
      </c>
      <c r="G175" t="inlineStr">
        <is>
          <t>KLIPPAN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46298</v>
      </c>
      <c r="F176" t="inlineStr">
        <is>
          <t>SKÅNE LÄN</t>
        </is>
      </c>
      <c r="G176" t="inlineStr">
        <is>
          <t>KLIPPAN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46298</v>
      </c>
      <c r="F177" t="inlineStr">
        <is>
          <t>SKÅNE LÄN</t>
        </is>
      </c>
      <c r="G177" t="inlineStr">
        <is>
          <t>KLIPPAN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46298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46298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44475</v>
      </c>
      <c r="E180" s="1" t="n">
        <v>46298</v>
      </c>
      <c r="F180" t="inlineStr">
        <is>
          <t>SKÅNE LÄN</t>
        </is>
      </c>
      <c r="G180" t="inlineStr">
        <is>
          <t>KLIPPAN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46298</v>
      </c>
      <c r="F181" t="inlineStr">
        <is>
          <t>SKÅNE LÄN</t>
        </is>
      </c>
      <c r="G181" t="inlineStr">
        <is>
          <t>KLIPPAN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46298</v>
      </c>
      <c r="F182" t="inlineStr">
        <is>
          <t>SKÅNE LÄN</t>
        </is>
      </c>
      <c r="G182" t="inlineStr">
        <is>
          <t>KLIPPAN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46298</v>
      </c>
      <c r="F183" t="inlineStr">
        <is>
          <t>SKÅNE LÄN</t>
        </is>
      </c>
      <c r="G183" t="inlineStr">
        <is>
          <t>KLIPPAN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46298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46298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46298</v>
      </c>
      <c r="F186" t="inlineStr">
        <is>
          <t>SKÅNE LÄN</t>
        </is>
      </c>
      <c r="G186" t="inlineStr">
        <is>
          <t>KLIPPAN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46298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46298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46298</v>
      </c>
      <c r="F189" t="inlineStr">
        <is>
          <t>SKÅNE LÄN</t>
        </is>
      </c>
      <c r="G189" t="inlineStr">
        <is>
          <t>KLIPPAN</t>
        </is>
      </c>
      <c r="H189" t="inlineStr">
        <is>
          <t>Övriga Aktiebolag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46298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46298</v>
      </c>
      <c r="F191" t="inlineStr">
        <is>
          <t>SKÅNE LÄN</t>
        </is>
      </c>
      <c r="G191" t="inlineStr">
        <is>
          <t>KLIPPAN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46298</v>
      </c>
      <c r="F192" t="inlineStr">
        <is>
          <t>SKÅNE LÄN</t>
        </is>
      </c>
      <c r="G192" t="inlineStr">
        <is>
          <t>KLIPPAN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46298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46298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46298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46298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46298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46298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46298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46298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45641-2022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44845</v>
      </c>
      <c r="E201" s="1" t="n">
        <v>46298</v>
      </c>
      <c r="F201" t="inlineStr">
        <is>
          <t>SKÅNE LÄN</t>
        </is>
      </c>
      <c r="G201" t="inlineStr">
        <is>
          <t>KLIPPAN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46298</v>
      </c>
      <c r="F202" t="inlineStr">
        <is>
          <t>SKÅNE LÄN</t>
        </is>
      </c>
      <c r="G202" t="inlineStr">
        <is>
          <t>KLIPPAN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46298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46298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46298</v>
      </c>
      <c r="F205" t="inlineStr">
        <is>
          <t>SKÅNE LÄN</t>
        </is>
      </c>
      <c r="G205" t="inlineStr">
        <is>
          <t>KLIPPAN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46298</v>
      </c>
      <c r="F206" t="inlineStr">
        <is>
          <t>SKÅNE LÄN</t>
        </is>
      </c>
      <c r="G206" t="inlineStr">
        <is>
          <t>KLIPPAN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46298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44993</v>
      </c>
      <c r="E208" s="1" t="n">
        <v>46298</v>
      </c>
      <c r="F208" t="inlineStr">
        <is>
          <t>SKÅNE LÄN</t>
        </is>
      </c>
      <c r="G208" t="inlineStr">
        <is>
          <t>KLIPPAN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45005</v>
      </c>
      <c r="E209" s="1" t="n">
        <v>46298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46298</v>
      </c>
      <c r="F210" t="inlineStr">
        <is>
          <t>SKÅNE LÄN</t>
        </is>
      </c>
      <c r="G210" t="inlineStr">
        <is>
          <t>KLIPPAN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46298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46269</v>
      </c>
      <c r="E212" s="1" t="n">
        <v>46298</v>
      </c>
      <c r="F212" t="inlineStr">
        <is>
          <t>SKÅNE LÄN</t>
        </is>
      </c>
      <c r="G212" t="inlineStr">
        <is>
          <t>KLIPPAN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46269</v>
      </c>
      <c r="E213" s="1" t="n">
        <v>46298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46298</v>
      </c>
      <c r="F214" t="inlineStr">
        <is>
          <t>SKÅNE LÄN</t>
        </is>
      </c>
      <c r="G214" t="inlineStr">
        <is>
          <t>KLIPPAN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46279</v>
      </c>
      <c r="E215" s="1" t="n">
        <v>46298</v>
      </c>
      <c r="F215" t="inlineStr">
        <is>
          <t>SKÅNE LÄN</t>
        </is>
      </c>
      <c r="G215" t="inlineStr">
        <is>
          <t>KLIPPAN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46298</v>
      </c>
      <c r="F216" t="inlineStr">
        <is>
          <t>SKÅNE LÄN</t>
        </is>
      </c>
      <c r="G216" t="inlineStr">
        <is>
          <t>KLIPPAN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46298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46298</v>
      </c>
      <c r="F218" t="inlineStr">
        <is>
          <t>SKÅNE LÄN</t>
        </is>
      </c>
      <c r="G218" t="inlineStr">
        <is>
          <t>KLIPPAN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58387-2022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46298</v>
      </c>
      <c r="F219" t="inlineStr">
        <is>
          <t>SKÅNE LÄN</t>
        </is>
      </c>
      <c r="G219" t="inlineStr">
        <is>
          <t>KLIPPAN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46298</v>
      </c>
      <c r="F220" t="inlineStr">
        <is>
          <t>SKÅNE LÄN</t>
        </is>
      </c>
      <c r="G220" t="inlineStr">
        <is>
          <t>KLIPPAN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46210</v>
      </c>
      <c r="E221" s="1" t="n">
        <v>46298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46298</v>
      </c>
      <c r="F222" t="inlineStr">
        <is>
          <t>SKÅNE LÄN</t>
        </is>
      </c>
      <c r="G222" t="inlineStr">
        <is>
          <t>KLIPPAN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46298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46298</v>
      </c>
      <c r="F224" t="inlineStr">
        <is>
          <t>SKÅNE LÄN</t>
        </is>
      </c>
      <c r="G224" t="inlineStr">
        <is>
          <t>KLIPPAN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46298</v>
      </c>
      <c r="F225" t="inlineStr">
        <is>
          <t>SKÅNE LÄN</t>
        </is>
      </c>
      <c r="G225" t="inlineStr">
        <is>
          <t>KLIPPAN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46298</v>
      </c>
      <c r="F226" t="inlineStr">
        <is>
          <t>SKÅNE LÄN</t>
        </is>
      </c>
      <c r="G226" t="inlineStr">
        <is>
          <t>KLIPPAN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46286</v>
      </c>
      <c r="E227" s="1" t="n">
        <v>46298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46298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46298</v>
      </c>
      <c r="F229" t="inlineStr">
        <is>
          <t>SKÅNE LÄN</t>
        </is>
      </c>
      <c r="G229" t="inlineStr">
        <is>
          <t>KLIPPAN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46287</v>
      </c>
      <c r="E230" s="1" t="n">
        <v>46298</v>
      </c>
      <c r="F230" t="inlineStr">
        <is>
          <t>SKÅNE LÄN</t>
        </is>
      </c>
      <c r="G230" t="inlineStr">
        <is>
          <t>KLIPPAN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46223</v>
      </c>
      <c r="E231" s="1" t="n">
        <v>46298</v>
      </c>
      <c r="F231" t="inlineStr">
        <is>
          <t>SKÅNE LÄN</t>
        </is>
      </c>
      <c r="G231" t="inlineStr">
        <is>
          <t>KLIPPAN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46298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46298</v>
      </c>
      <c r="F233" t="inlineStr">
        <is>
          <t>SKÅNE LÄN</t>
        </is>
      </c>
      <c r="G233" t="inlineStr">
        <is>
          <t>KLIPPAN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46298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46298</v>
      </c>
      <c r="F235" t="inlineStr">
        <is>
          <t>SKÅNE LÄN</t>
        </is>
      </c>
      <c r="G235" t="inlineStr">
        <is>
          <t>KLIPPAN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44697</v>
      </c>
      <c r="E236" s="1" t="n">
        <v>46298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46298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45212</v>
      </c>
      <c r="E238" s="1" t="n">
        <v>46298</v>
      </c>
      <c r="F238" t="inlineStr">
        <is>
          <t>SKÅNE LÄN</t>
        </is>
      </c>
      <c r="G238" t="inlineStr">
        <is>
          <t>KLIPPAN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68856-2021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44530</v>
      </c>
      <c r="E239" s="1" t="n">
        <v>46298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46835-2023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45199</v>
      </c>
      <c r="E240" s="1" t="n">
        <v>46298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46298</v>
      </c>
      <c r="F241" t="inlineStr">
        <is>
          <t>SKÅNE LÄN</t>
        </is>
      </c>
      <c r="G241" t="inlineStr">
        <is>
          <t>KLIPPAN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46251</v>
      </c>
      <c r="E242" s="1" t="n">
        <v>46298</v>
      </c>
      <c r="F242" t="inlineStr">
        <is>
          <t>SKÅNE LÄN</t>
        </is>
      </c>
      <c r="G242" t="inlineStr">
        <is>
          <t>KLIPPAN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46298</v>
      </c>
      <c r="F243" t="inlineStr">
        <is>
          <t>SKÅNE LÄN</t>
        </is>
      </c>
      <c r="G243" t="inlineStr">
        <is>
          <t>KLIPPAN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46298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46298</v>
      </c>
      <c r="F245" t="inlineStr">
        <is>
          <t>SKÅNE LÄN</t>
        </is>
      </c>
      <c r="G245" t="inlineStr">
        <is>
          <t>KLIPPAN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46298</v>
      </c>
      <c r="F246" t="inlineStr">
        <is>
          <t>SKÅNE LÄN</t>
        </is>
      </c>
      <c r="G246" t="inlineStr">
        <is>
          <t>KLIPPAN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46298</v>
      </c>
      <c r="F247" t="inlineStr">
        <is>
          <t>SKÅNE LÄN</t>
        </is>
      </c>
      <c r="G247" t="inlineStr">
        <is>
          <t>KLIPPAN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46298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46210</v>
      </c>
      <c r="E249" s="1" t="n">
        <v>46298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45163</v>
      </c>
      <c r="E250" s="1" t="n">
        <v>46298</v>
      </c>
      <c r="F250" t="inlineStr">
        <is>
          <t>SKÅNE LÄN</t>
        </is>
      </c>
      <c r="G250" t="inlineStr">
        <is>
          <t>KLIPPAN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55587-2021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44475</v>
      </c>
      <c r="E251" s="1" t="n">
        <v>46298</v>
      </c>
      <c r="F251" t="inlineStr">
        <is>
          <t>SKÅNE LÄN</t>
        </is>
      </c>
      <c r="G251" t="inlineStr">
        <is>
          <t>KLIPPAN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46298</v>
      </c>
      <c r="F252" t="inlineStr">
        <is>
          <t>SKÅNE LÄN</t>
        </is>
      </c>
      <c r="G252" t="inlineStr">
        <is>
          <t>KLIPPAN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46253</v>
      </c>
      <c r="E253" s="1" t="n">
        <v>46298</v>
      </c>
      <c r="F253" t="inlineStr">
        <is>
          <t>SKÅNE LÄN</t>
        </is>
      </c>
      <c r="G253" t="inlineStr">
        <is>
          <t>KLIPPAN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46298</v>
      </c>
      <c r="F254" t="inlineStr">
        <is>
          <t>SKÅNE LÄN</t>
        </is>
      </c>
      <c r="G254" t="inlineStr">
        <is>
          <t>KLIPPAN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46298</v>
      </c>
      <c r="F255" t="inlineStr">
        <is>
          <t>SKÅNE LÄN</t>
        </is>
      </c>
      <c r="G255" t="inlineStr">
        <is>
          <t>KLIPPAN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45238</v>
      </c>
      <c r="E256" s="1" t="n">
        <v>46298</v>
      </c>
      <c r="F256" t="inlineStr">
        <is>
          <t>SKÅNE LÄN</t>
        </is>
      </c>
      <c r="G256" t="inlineStr">
        <is>
          <t>KLIPPAN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46298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46298</v>
      </c>
      <c r="F258" t="inlineStr">
        <is>
          <t>SKÅNE LÄN</t>
        </is>
      </c>
      <c r="G258" t="inlineStr">
        <is>
          <t>KLIPPAN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46298</v>
      </c>
      <c r="F259" t="inlineStr">
        <is>
          <t>SKÅNE LÄN</t>
        </is>
      </c>
      <c r="G259" t="inlineStr">
        <is>
          <t>KLIPPAN</t>
        </is>
      </c>
      <c r="I259" t="n">
        <v>17.2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46298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45275</v>
      </c>
      <c r="E261" s="1" t="n">
        <v>46298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46298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44855</v>
      </c>
      <c r="E263" s="1" t="n">
        <v>46298</v>
      </c>
      <c r="F263" t="inlineStr">
        <is>
          <t>SKÅNE LÄN</t>
        </is>
      </c>
      <c r="G263" t="inlineStr">
        <is>
          <t>KLIPPAN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6615-2024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46298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46298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46298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46298</v>
      </c>
      <c r="F267" t="inlineStr">
        <is>
          <t>SKÅNE LÄN</t>
        </is>
      </c>
      <c r="G267" t="inlineStr">
        <is>
          <t>KLIPPAN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46298</v>
      </c>
      <c r="F268" t="inlineStr">
        <is>
          <t>SKÅNE LÄN</t>
        </is>
      </c>
      <c r="G268" t="inlineStr">
        <is>
          <t>KLIPPAN</t>
        </is>
      </c>
      <c r="H268" t="inlineStr">
        <is>
          <t>Sveaskog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46298</v>
      </c>
      <c r="F269" t="inlineStr">
        <is>
          <t>SKÅNE LÄN</t>
        </is>
      </c>
      <c r="G269" t="inlineStr">
        <is>
          <t>KLIPPAN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46298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46298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3541-2023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45209</v>
      </c>
      <c r="E272" s="1" t="n">
        <v>46298</v>
      </c>
      <c r="F272" t="inlineStr">
        <is>
          <t>SKÅNE LÄN</t>
        </is>
      </c>
      <c r="G272" t="inlineStr">
        <is>
          <t>KLIPPAN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5970-2022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44858</v>
      </c>
      <c r="E273" s="1" t="n">
        <v>46298</v>
      </c>
      <c r="F273" t="inlineStr">
        <is>
          <t>SKÅNE LÄN</t>
        </is>
      </c>
      <c r="G273" t="inlineStr">
        <is>
          <t>KLIPPAN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116-2023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46298</v>
      </c>
      <c r="F274" t="inlineStr">
        <is>
          <t>SKÅNE LÄN</t>
        </is>
      </c>
      <c r="G274" t="inlineStr">
        <is>
          <t>KLIPPAN</t>
        </is>
      </c>
      <c r="I274" t="n">
        <v>51.8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525-2024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45348</v>
      </c>
      <c r="E275" s="1" t="n">
        <v>46298</v>
      </c>
      <c r="F275" t="inlineStr">
        <is>
          <t>SKÅNE LÄN</t>
        </is>
      </c>
      <c r="G275" t="inlineStr">
        <is>
          <t>KLIPPAN</t>
        </is>
      </c>
      <c r="I275" t="n">
        <v>22.3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1710-2024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46298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46298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12.3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3796-2024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46298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3804-2024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46298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704-2022</t>
        </is>
      </c>
      <c r="B280" t="inlineStr">
        <is>
          <t>samrådsanmälan</t>
        </is>
      </c>
      <c r="C280" t="inlineStr">
        <is>
          <t>Skogsbilväg</t>
        </is>
      </c>
      <c r="D280" s="1" t="n">
        <v>44599</v>
      </c>
      <c r="E280" s="1" t="n">
        <v>46298</v>
      </c>
      <c r="F280" t="inlineStr">
        <is>
          <t>SKÅNE LÄN</t>
        </is>
      </c>
      <c r="G280" t="inlineStr">
        <is>
          <t>KLIPPAN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2678-2022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46298</v>
      </c>
      <c r="F281" t="inlineStr">
        <is>
          <t>SKÅNE LÄN</t>
        </is>
      </c>
      <c r="G281" t="inlineStr">
        <is>
          <t>KLIPPAN</t>
        </is>
      </c>
      <c r="I281" t="n">
        <v>15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1716-2024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45434</v>
      </c>
      <c r="E282" s="1" t="n">
        <v>46298</v>
      </c>
      <c r="F282" t="inlineStr">
        <is>
          <t>SKÅNE LÄN</t>
        </is>
      </c>
      <c r="G282" t="inlineStr">
        <is>
          <t>KLIPPAN</t>
        </is>
      </c>
      <c r="H282" t="inlineStr">
        <is>
          <t>Övriga Aktiebolag</t>
        </is>
      </c>
      <c r="I282" t="n">
        <v>29.5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110-2023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44936</v>
      </c>
      <c r="E283" s="1" t="n">
        <v>46298</v>
      </c>
      <c r="F283" t="inlineStr">
        <is>
          <t>SKÅNE LÄN</t>
        </is>
      </c>
      <c r="G283" t="inlineStr">
        <is>
          <t>KLIPPAN</t>
        </is>
      </c>
      <c r="I283" t="n">
        <v>26.9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3792-2024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46298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2690-2022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44701</v>
      </c>
      <c r="E285" s="1" t="n">
        <v>46298</v>
      </c>
      <c r="F285" t="inlineStr">
        <is>
          <t>SKÅNE LÄN</t>
        </is>
      </c>
      <c r="G285" t="inlineStr">
        <is>
          <t>KLIPPAN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2225-2023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45109</v>
      </c>
      <c r="E286" s="1" t="n">
        <v>46298</v>
      </c>
      <c r="F286" t="inlineStr">
        <is>
          <t>SKÅNE LÄN</t>
        </is>
      </c>
      <c r="G286" t="inlineStr">
        <is>
          <t>KLIPPAN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5892-2022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44853</v>
      </c>
      <c r="E287" s="1" t="n">
        <v>46298</v>
      </c>
      <c r="F287" t="inlineStr">
        <is>
          <t>SKÅNE LÄN</t>
        </is>
      </c>
      <c r="G287" t="inlineStr">
        <is>
          <t>KLIPPAN</t>
        </is>
      </c>
      <c r="I287" t="n">
        <v>24.6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5986-2022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44859</v>
      </c>
      <c r="E288" s="1" t="n">
        <v>46298</v>
      </c>
      <c r="F288" t="inlineStr">
        <is>
          <t>SKÅNE LÄN</t>
        </is>
      </c>
      <c r="G288" t="inlineStr">
        <is>
          <t>KLIPPAN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4186-2024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45579</v>
      </c>
      <c r="E289" s="1" t="n">
        <v>46298</v>
      </c>
      <c r="F289" t="inlineStr">
        <is>
          <t>SKÅNE LÄN</t>
        </is>
      </c>
      <c r="G289" t="inlineStr">
        <is>
          <t>KLIPPAN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3806-2024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45558</v>
      </c>
      <c r="E290" s="1" t="n">
        <v>46298</v>
      </c>
      <c r="F290" t="inlineStr">
        <is>
          <t>SKÅNE LÄN</t>
        </is>
      </c>
      <c r="G290" t="inlineStr">
        <is>
          <t>KLIPPAN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1606-2025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45798</v>
      </c>
      <c r="E291" s="1" t="n">
        <v>46298</v>
      </c>
      <c r="F291" t="inlineStr">
        <is>
          <t>SKÅNE LÄN</t>
        </is>
      </c>
      <c r="G291" t="inlineStr">
        <is>
          <t>KLIPPAN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45947</v>
      </c>
      <c r="E292" s="1" t="n">
        <v>46298</v>
      </c>
      <c r="F292" t="inlineStr">
        <is>
          <t>SKÅNE LÄN</t>
        </is>
      </c>
      <c r="G292" t="inlineStr">
        <is>
          <t>KLIPPAN</t>
        </is>
      </c>
      <c r="I292" t="n">
        <v>48.2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46034</v>
      </c>
      <c r="E293" s="1" t="n">
        <v>46298</v>
      </c>
      <c r="F293" t="inlineStr">
        <is>
          <t>SKÅNE LÄN</t>
        </is>
      </c>
      <c r="G293" t="inlineStr">
        <is>
          <t>KLIPPAN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166-2026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46044</v>
      </c>
      <c r="E294" s="1" t="n">
        <v>46298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2022-2026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46298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2019-2026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46298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20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2020-2026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46298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30.3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