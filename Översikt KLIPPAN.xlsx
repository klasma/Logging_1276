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2762-2024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45314</v>
      </c>
      <c r="E2" s="1" t="n">
        <v>46326</v>
      </c>
      <c r="F2" t="inlineStr">
        <is>
          <t>SKÅNE LÄN</t>
        </is>
      </c>
      <c r="G2" t="inlineStr">
        <is>
          <t>KLIPPAN</t>
        </is>
      </c>
      <c r="I2" t="n">
        <v>15.7</v>
      </c>
      <c r="J2" t="n">
        <v>5</v>
      </c>
      <c r="K2" t="n">
        <v>5</v>
      </c>
      <c r="L2" t="n">
        <v>5</v>
      </c>
      <c r="M2" t="n">
        <v>1</v>
      </c>
      <c r="N2" t="n">
        <v>0</v>
      </c>
      <c r="O2" t="n">
        <v>0</v>
      </c>
      <c r="P2" t="n">
        <v>0</v>
      </c>
      <c r="Q2" t="n">
        <v>6</v>
      </c>
      <c r="R2" t="n">
        <v>1</v>
      </c>
      <c r="S2" t="n">
        <v>14</v>
      </c>
      <c r="T2" t="n">
        <v>34</v>
      </c>
      <c r="U2" t="n">
        <v>34</v>
      </c>
      <c r="V2" s="2" t="inlineStr">
        <is>
          <t>Finporing
Bokkantlav
Bokvårtlav
Entita
Mindre hackspett
Sydlig sotticka
Havstulpanlav
Klippfrullania
Platt fjädermossa
Stor revmossa
Västlig hakmossa
Spillkråka
Grönsiska
Kungsfågel</t>
        </is>
      </c>
      <c r="W2">
        <f>HYPERLINK("https://klasma.github.io/Logging_1276/artfynd/A 2762-2024 artfynd.xlsx", "A 2762-2024")</f>
        <v/>
      </c>
      <c r="X2">
        <f>HYPERLINK("https://klasma.github.io/Logging_1276/kartor/A 2762-2024 karta.png", "A 2762-2024")</f>
        <v/>
      </c>
      <c r="Y2">
        <f>HYPERLINK("https://klasma.github.io/Logging_1276/kartor_geotiff/A 2762-2024 georefererad karta.tif", "A 2762-2024")</f>
        <v/>
      </c>
      <c r="AA2">
        <f>HYPERLINK("https://klasma.github.io/Logging_1276/klagomål/A 2762-2024 FSC-klagomål.docx", "A 2762-2024")</f>
        <v/>
      </c>
      <c r="AB2">
        <f>HYPERLINK("https://klasma.github.io/Logging_1276/klagomålsmail/A 2762-2024 FSC-klagomål mail.docx", "A 2762-2024")</f>
        <v/>
      </c>
      <c r="AC2">
        <f>HYPERLINK("https://klasma.github.io/Logging_1276/tillsyn/A 2762-2024 tillsynsbegäran.docx", "A 2762-2024")</f>
        <v/>
      </c>
      <c r="AD2">
        <f>HYPERLINK("https://klasma.github.io/Logging_1276/tillsynsmail/A 2762-2024 tillsynsbegäran mail.docx", "A 2762-2024")</f>
        <v/>
      </c>
      <c r="AE2">
        <f>HYPERLINK("https://klasma.github.io/Logging_1276/fåglar/A 2762-2024 prioriterade fågelarter.docx", "A 2762-2024")</f>
        <v/>
      </c>
    </row>
    <row r="3" ht="15" customHeight="1">
      <c r="A3" t="inlineStr">
        <is>
          <t>A 39820-2026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46289</v>
      </c>
      <c r="E3" s="1" t="n">
        <v>46326</v>
      </c>
      <c r="F3" t="inlineStr">
        <is>
          <t>SKÅNE LÄN</t>
        </is>
      </c>
      <c r="G3" t="inlineStr">
        <is>
          <t>KLIPPAN</t>
        </is>
      </c>
      <c r="I3" t="n">
        <v>13</v>
      </c>
      <c r="J3" t="n">
        <v>7</v>
      </c>
      <c r="K3" t="n">
        <v>2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4</v>
      </c>
      <c r="R3" t="n">
        <v>0</v>
      </c>
      <c r="S3" t="n">
        <v>14</v>
      </c>
      <c r="T3" t="n">
        <v>25</v>
      </c>
      <c r="U3" t="n">
        <v>25</v>
      </c>
      <c r="V3" s="2" t="inlineStr">
        <is>
          <t>Entita
Gropticka
Rödvingetrast
Svart skogssnigel
Platt fjädermossa
Västlig hakmossa
Bergfink
Blåbär
Majbräken
Skriftlav
Spillkråka
Skogsödla
Vanlig groda
Revlummer</t>
        </is>
      </c>
      <c r="W3">
        <f>HYPERLINK("https://klasma.github.io/Logging_1276/artfynd/A 39820-2026 artfynd.xlsx", "A 39820-2026")</f>
        <v/>
      </c>
      <c r="X3">
        <f>HYPERLINK("https://klasma.github.io/Logging_1276/kartor/A 39820-2026 karta.png", "A 39820-2026")</f>
        <v/>
      </c>
      <c r="Y3">
        <f>HYPERLINK("https://klasma.github.io/Logging_1276/kartor_geotiff/A 39820-2026 georefererad karta.tif", "A 39820-2026")</f>
        <v/>
      </c>
      <c r="AA3">
        <f>HYPERLINK("https://klasma.github.io/Logging_1276/klagomål/A 39820-2026 FSC-klagomål.docx", "A 39820-2026")</f>
        <v/>
      </c>
      <c r="AB3">
        <f>HYPERLINK("https://klasma.github.io/Logging_1276/klagomålsmail/A 39820-2026 FSC-klagomål mail.docx", "A 39820-2026")</f>
        <v/>
      </c>
      <c r="AC3">
        <f>HYPERLINK("https://klasma.github.io/Logging_1276/tillsyn/A 39820-2026 tillsynsbegäran.docx", "A 39820-2026")</f>
        <v/>
      </c>
      <c r="AD3">
        <f>HYPERLINK("https://klasma.github.io/Logging_1276/tillsynsmail/A 39820-2026 tillsynsbegäran mail.docx", "A 39820-2026")</f>
        <v/>
      </c>
      <c r="AE3">
        <f>HYPERLINK("https://klasma.github.io/Logging_1276/fåglar/A 39820-2026 prioriterade fågelarter.docx", "A 39820-2026")</f>
        <v/>
      </c>
    </row>
    <row r="4" ht="15" customHeight="1">
      <c r="A4" t="inlineStr">
        <is>
          <t>S 4865-2022</t>
        </is>
      </c>
      <c r="B4" t="inlineStr">
        <is>
          <t>samrådsanmälan</t>
        </is>
      </c>
      <c r="C4" t="inlineStr">
        <is>
          <t>Askåterföring</t>
        </is>
      </c>
      <c r="D4" s="1" t="n">
        <v>44805</v>
      </c>
      <c r="E4" s="1" t="n">
        <v>46326</v>
      </c>
      <c r="F4" t="inlineStr">
        <is>
          <t>SKÅNE LÄN</t>
        </is>
      </c>
      <c r="G4" t="inlineStr">
        <is>
          <t>KLIPPAN</t>
        </is>
      </c>
      <c r="I4" t="n">
        <v>29.1</v>
      </c>
      <c r="J4" t="n">
        <v>7</v>
      </c>
      <c r="K4" t="n">
        <v>2</v>
      </c>
      <c r="L4" t="n">
        <v>4</v>
      </c>
      <c r="M4" t="n">
        <v>0</v>
      </c>
      <c r="N4" t="n">
        <v>0</v>
      </c>
      <c r="O4" t="n">
        <v>0</v>
      </c>
      <c r="P4" t="n">
        <v>0</v>
      </c>
      <c r="Q4" t="n">
        <v>4</v>
      </c>
      <c r="R4" t="n">
        <v>0</v>
      </c>
      <c r="S4" t="n">
        <v>14</v>
      </c>
      <c r="T4" t="n">
        <v>25</v>
      </c>
      <c r="U4" t="n">
        <v>25</v>
      </c>
      <c r="V4" s="2" t="inlineStr">
        <is>
          <t>Entita
Gropticka
Rödvingetrast
Svart skogssnigel
Platt fjädermossa
Västlig hakmossa
Bergfink
Blåbär
Majbräken
Skriftlav
Spillkråka
Skogsödla
Vanlig groda
Revlummer</t>
        </is>
      </c>
      <c r="W4">
        <f>HYPERLINK("https://klasma.github.io/Logging_1276/artfynd/S 4865-2022 artfynd.xlsx", "S 4865-2022")</f>
        <v/>
      </c>
      <c r="X4">
        <f>HYPERLINK("https://klasma.github.io/Logging_1276/kartor/S 4865-2022 karta.png", "S 4865-2022")</f>
        <v/>
      </c>
      <c r="Y4">
        <f>HYPERLINK("https://klasma.github.io/Logging_1276/kartor_geotiff/S 4865-2022 georefererad karta.tif", "S 4865-2022")</f>
        <v/>
      </c>
      <c r="AA4">
        <f>HYPERLINK("https://klasma.github.io/Logging_1276/klagomål/S 4865-2022 FSC-klagomål.docx", "S 4865-2022")</f>
        <v/>
      </c>
      <c r="AB4">
        <f>HYPERLINK("https://klasma.github.io/Logging_1276/klagomålsmail/S 4865-2022 FSC-klagomål mail.docx", "S 4865-2022")</f>
        <v/>
      </c>
      <c r="AC4">
        <f>HYPERLINK("https://klasma.github.io/Logging_1276/tillsyn/S 4865-2022 tillsynsbegäran.docx", "S 4865-2022")</f>
        <v/>
      </c>
      <c r="AD4">
        <f>HYPERLINK("https://klasma.github.io/Logging_1276/tillsynsmail/S 4865-2022 tillsynsbegäran mail.docx", "S 4865-2022")</f>
        <v/>
      </c>
      <c r="AE4">
        <f>HYPERLINK("https://klasma.github.io/Logging_1276/fåglar/S 4865-2022 prioriterade fågelarter.docx", "S 4865-2022")</f>
        <v/>
      </c>
    </row>
    <row r="5" ht="15" customHeight="1">
      <c r="A5" t="inlineStr">
        <is>
          <t>A 53614-2025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45960</v>
      </c>
      <c r="E5" s="1" t="n">
        <v>46326</v>
      </c>
      <c r="F5" t="inlineStr">
        <is>
          <t>SKÅNE LÄN</t>
        </is>
      </c>
      <c r="G5" t="inlineStr">
        <is>
          <t>KLIPPAN</t>
        </is>
      </c>
      <c r="I5" t="n">
        <v>6.6</v>
      </c>
      <c r="J5" t="n">
        <v>12</v>
      </c>
      <c r="K5" t="n">
        <v>0</v>
      </c>
      <c r="L5" t="n">
        <v>5</v>
      </c>
      <c r="M5" t="n">
        <v>1</v>
      </c>
      <c r="N5" t="n">
        <v>0</v>
      </c>
      <c r="O5" t="n">
        <v>0</v>
      </c>
      <c r="P5" t="n">
        <v>0</v>
      </c>
      <c r="Q5" t="n">
        <v>6</v>
      </c>
      <c r="R5" t="n">
        <v>1</v>
      </c>
      <c r="S5" t="n">
        <v>12</v>
      </c>
      <c r="T5" t="n">
        <v>18</v>
      </c>
      <c r="U5" t="n">
        <v>18</v>
      </c>
      <c r="V5" s="2" t="inlineStr">
        <is>
          <t>Grönfink
Entita
Gulsparv
Mindre hackspett
Rödvingetrast
Talltita
Spillkråka
Stjärtmes
Gröngöling
Grönsiska
Kungsfågel
Skogsduva</t>
        </is>
      </c>
      <c r="W5">
        <f>HYPERLINK("https://klasma.github.io/Logging_1276/artfynd/A 53614-2025 artfynd.xlsx", "A 53614-2025")</f>
        <v/>
      </c>
      <c r="X5">
        <f>HYPERLINK("https://klasma.github.io/Logging_1276/kartor/A 53614-2025 karta.png", "A 53614-2025")</f>
        <v/>
      </c>
      <c r="Y5">
        <f>HYPERLINK("https://klasma.github.io/Logging_1276/kartor_geotiff/A 53614-2025 georefererad karta.tif", "A 53614-2025")</f>
        <v/>
      </c>
      <c r="AA5">
        <f>HYPERLINK("https://klasma.github.io/Logging_1276/klagomål/A 53614-2025 FSC-klagomål.docx", "A 53614-2025")</f>
        <v/>
      </c>
      <c r="AB5">
        <f>HYPERLINK("https://klasma.github.io/Logging_1276/klagomålsmail/A 53614-2025 FSC-klagomål mail.docx", "A 53614-2025")</f>
        <v/>
      </c>
      <c r="AC5">
        <f>HYPERLINK("https://klasma.github.io/Logging_1276/tillsyn/A 53614-2025 tillsynsbegäran.docx", "A 53614-2025")</f>
        <v/>
      </c>
      <c r="AD5">
        <f>HYPERLINK("https://klasma.github.io/Logging_1276/tillsynsmail/A 53614-2025 tillsynsbegäran mail.docx", "A 53614-2025")</f>
        <v/>
      </c>
      <c r="AE5">
        <f>HYPERLINK("https://klasma.github.io/Logging_1276/fåglar/A 53614-2025 prioriterade fågelarter.docx", "A 53614-2025")</f>
        <v/>
      </c>
    </row>
    <row r="6" ht="15" customHeight="1">
      <c r="A6" t="inlineStr">
        <is>
          <t>A 6890-2026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46057</v>
      </c>
      <c r="E6" s="1" t="n">
        <v>46326</v>
      </c>
      <c r="F6" t="inlineStr">
        <is>
          <t>SKÅNE LÄN</t>
        </is>
      </c>
      <c r="G6" t="inlineStr">
        <is>
          <t>KLIPPAN</t>
        </is>
      </c>
      <c r="I6" t="n">
        <v>8</v>
      </c>
      <c r="J6" t="n">
        <v>3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9</v>
      </c>
      <c r="T6" t="n">
        <v>9</v>
      </c>
      <c r="U6" t="n">
        <v>7</v>
      </c>
      <c r="V6" s="2" t="inlineStr">
        <is>
          <t>Enkelbeckasin
Entita
Blåbär
Ekorrbär
Liljekonvalj
Skogsstjärna
Stjärnstarr
Ängskovall
Gröngöling</t>
        </is>
      </c>
      <c r="W6">
        <f>HYPERLINK("https://klasma.github.io/Logging_1276/artfynd/A 6890-2026 artfynd.xlsx", "A 6890-2026")</f>
        <v/>
      </c>
      <c r="X6">
        <f>HYPERLINK("https://klasma.github.io/Logging_1276/kartor/A 6890-2026 karta.png", "A 6890-2026")</f>
        <v/>
      </c>
      <c r="Y6">
        <f>HYPERLINK("https://klasma.github.io/Logging_1276/kartor_geotiff/A 6890-2026 georefererad karta.tif", "A 6890-2026")</f>
        <v/>
      </c>
      <c r="AA6">
        <f>HYPERLINK("https://klasma.github.io/Logging_1276/klagomål/A 6890-2026 FSC-klagomål.docx", "A 6890-2026")</f>
        <v/>
      </c>
      <c r="AB6">
        <f>HYPERLINK("https://klasma.github.io/Logging_1276/klagomålsmail/A 6890-2026 FSC-klagomål mail.docx", "A 6890-2026")</f>
        <v/>
      </c>
      <c r="AC6">
        <f>HYPERLINK("https://klasma.github.io/Logging_1276/tillsyn/A 6890-2026 tillsynsbegäran.docx", "A 6890-2026")</f>
        <v/>
      </c>
      <c r="AD6">
        <f>HYPERLINK("https://klasma.github.io/Logging_1276/tillsynsmail/A 6890-2026 tillsynsbegäran mail.docx", "A 6890-2026")</f>
        <v/>
      </c>
      <c r="AE6">
        <f>HYPERLINK("https://klasma.github.io/Logging_1276/fåglar/A 6890-2026 prioriterade fågelarter.docx", "A 6890-2026")</f>
        <v/>
      </c>
    </row>
    <row r="7" ht="15" customHeight="1">
      <c r="A7" t="inlineStr">
        <is>
          <t>A 37724-2026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46279</v>
      </c>
      <c r="E7" s="1" t="n">
        <v>46326</v>
      </c>
      <c r="F7" t="inlineStr">
        <is>
          <t>SKÅNE LÄN</t>
        </is>
      </c>
      <c r="G7" t="inlineStr">
        <is>
          <t>KLIPPAN</t>
        </is>
      </c>
      <c r="I7" t="n">
        <v>5.3</v>
      </c>
      <c r="J7" t="n">
        <v>5</v>
      </c>
      <c r="K7" t="n">
        <v>1</v>
      </c>
      <c r="L7" t="n">
        <v>4</v>
      </c>
      <c r="M7" t="n">
        <v>0</v>
      </c>
      <c r="N7" t="n">
        <v>0</v>
      </c>
      <c r="O7" t="n">
        <v>0</v>
      </c>
      <c r="P7" t="n">
        <v>0</v>
      </c>
      <c r="Q7" t="n">
        <v>4</v>
      </c>
      <c r="R7" t="n">
        <v>0</v>
      </c>
      <c r="S7" t="n">
        <v>9</v>
      </c>
      <c r="T7" t="n">
        <v>13</v>
      </c>
      <c r="U7" t="n">
        <v>13</v>
      </c>
      <c r="V7" s="2" t="inlineStr">
        <is>
          <t>Entita
Mindre hackspett
Talltita
Älg
Västlig hakmossa
Blåbär
Majbräken
Spillkråka
Stjärtmes</t>
        </is>
      </c>
      <c r="W7">
        <f>HYPERLINK("https://klasma.github.io/Logging_1276/artfynd/A 37724-2026 artfynd.xlsx", "A 37724-2026")</f>
        <v/>
      </c>
      <c r="X7">
        <f>HYPERLINK("https://klasma.github.io/Logging_1276/kartor/A 37724-2026 karta.png", "A 37724-2026")</f>
        <v/>
      </c>
      <c r="Y7">
        <f>HYPERLINK("https://klasma.github.io/Logging_1276/kartor_geotiff/A 37724-2026 georefererad karta.tif", "A 37724-2026")</f>
        <v/>
      </c>
      <c r="AA7">
        <f>HYPERLINK("https://klasma.github.io/Logging_1276/klagomål/A 37724-2026 FSC-klagomål.docx", "A 37724-2026")</f>
        <v/>
      </c>
      <c r="AB7">
        <f>HYPERLINK("https://klasma.github.io/Logging_1276/klagomålsmail/A 37724-2026 FSC-klagomål mail.docx", "A 37724-2026")</f>
        <v/>
      </c>
      <c r="AC7">
        <f>HYPERLINK("https://klasma.github.io/Logging_1276/tillsyn/A 37724-2026 tillsynsbegäran.docx", "A 37724-2026")</f>
        <v/>
      </c>
      <c r="AD7">
        <f>HYPERLINK("https://klasma.github.io/Logging_1276/tillsynsmail/A 37724-2026 tillsynsbegäran mail.docx", "A 37724-2026")</f>
        <v/>
      </c>
      <c r="AE7">
        <f>HYPERLINK("https://klasma.github.io/Logging_1276/fåglar/A 37724-2026 prioriterade fågelarter.docx", "A 37724-2026")</f>
        <v/>
      </c>
    </row>
    <row r="8" ht="15" customHeight="1">
      <c r="A8" t="inlineStr">
        <is>
          <t>S 1105-2024</t>
        </is>
      </c>
      <c r="B8" t="inlineStr">
        <is>
          <t>samrådsanmälan</t>
        </is>
      </c>
      <c r="C8" t="inlineStr">
        <is>
          <t>Askåterföring</t>
        </is>
      </c>
      <c r="D8" s="1" t="n">
        <v>45391</v>
      </c>
      <c r="E8" s="1" t="n">
        <v>46326</v>
      </c>
      <c r="F8" t="inlineStr">
        <is>
          <t>SKÅNE LÄN</t>
        </is>
      </c>
      <c r="G8" t="inlineStr">
        <is>
          <t>KLIPPAN</t>
        </is>
      </c>
      <c r="I8" t="n">
        <v>55.1</v>
      </c>
      <c r="J8" t="n">
        <v>4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0</v>
      </c>
      <c r="S8" t="n">
        <v>8</v>
      </c>
      <c r="T8" t="n">
        <v>13</v>
      </c>
      <c r="U8" t="n">
        <v>4</v>
      </c>
      <c r="V8" s="2" t="inlineStr">
        <is>
          <t>Bokkantlav
Stiftklotterlav
Talltita
Glansfläck
Skriftlav
Spillkråka
Kungsfågel
Vanlig padda</t>
        </is>
      </c>
      <c r="W8">
        <f>HYPERLINK("https://klasma.github.io/Logging_1276/artfynd/S 1105-2024 artfynd.xlsx", "S 1105-2024")</f>
        <v/>
      </c>
      <c r="X8">
        <f>HYPERLINK("https://klasma.github.io/Logging_1276/kartor/S 1105-2024 karta.png", "S 1105-2024")</f>
        <v/>
      </c>
      <c r="Y8">
        <f>HYPERLINK("https://klasma.github.io/Logging_1276/kartor_geotiff/S 1105-2024 georefererad karta.tif", "S 1105-2024")</f>
        <v/>
      </c>
      <c r="AA8">
        <f>HYPERLINK("https://klasma.github.io/Logging_1276/klagomål/S 1105-2024 FSC-klagomål.docx", "S 1105-2024")</f>
        <v/>
      </c>
      <c r="AB8">
        <f>HYPERLINK("https://klasma.github.io/Logging_1276/klagomålsmail/S 1105-2024 FSC-klagomål mail.docx", "S 1105-2024")</f>
        <v/>
      </c>
      <c r="AC8">
        <f>HYPERLINK("https://klasma.github.io/Logging_1276/tillsyn/S 1105-2024 tillsynsbegäran.docx", "S 1105-2024")</f>
        <v/>
      </c>
      <c r="AD8">
        <f>HYPERLINK("https://klasma.github.io/Logging_1276/tillsynsmail/S 1105-2024 tillsynsbegäran mail.docx", "S 1105-2024")</f>
        <v/>
      </c>
      <c r="AE8">
        <f>HYPERLINK("https://klasma.github.io/Logging_1276/fåglar/S 1105-2024 prioriterade fågelarter.docx", "S 1105-2024")</f>
        <v/>
      </c>
    </row>
    <row r="9" ht="15" customHeight="1">
      <c r="A9" t="inlineStr">
        <is>
          <t>A 28917-2026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46199</v>
      </c>
      <c r="E9" s="1" t="n">
        <v>46326</v>
      </c>
      <c r="F9" t="inlineStr">
        <is>
          <t>SKÅNE LÄN</t>
        </is>
      </c>
      <c r="G9" t="inlineStr">
        <is>
          <t>KLIPPAN</t>
        </is>
      </c>
      <c r="I9" t="n">
        <v>4.9</v>
      </c>
      <c r="J9" t="n">
        <v>6</v>
      </c>
      <c r="K9" t="n">
        <v>1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7</v>
      </c>
      <c r="T9" t="n">
        <v>10</v>
      </c>
      <c r="U9" t="n">
        <v>0</v>
      </c>
      <c r="V9" s="2" t="inlineStr">
        <is>
          <t>Entita
Gulsparv
Mindre hackspett
Kambräken
Grönsiska
Kungsfågel
Röd glada</t>
        </is>
      </c>
      <c r="W9">
        <f>HYPERLINK("https://klasma.github.io/Logging_1276/artfynd/A 28917-2026 artfynd.xlsx", "A 28917-2026")</f>
        <v/>
      </c>
      <c r="X9">
        <f>HYPERLINK("https://klasma.github.io/Logging_1276/kartor/A 28917-2026 karta.png", "A 28917-2026")</f>
        <v/>
      </c>
      <c r="Y9">
        <f>HYPERLINK("https://klasma.github.io/Logging_1276/kartor_geotiff/A 28917-2026 georefererad karta.tif", "A 28917-2026")</f>
        <v/>
      </c>
      <c r="AA9">
        <f>HYPERLINK("https://klasma.github.io/Logging_1276/klagomål/A 28917-2026 FSC-klagomål.docx", "A 28917-2026")</f>
        <v/>
      </c>
      <c r="AB9">
        <f>HYPERLINK("https://klasma.github.io/Logging_1276/klagomålsmail/A 28917-2026 FSC-klagomål mail.docx", "A 28917-2026")</f>
        <v/>
      </c>
      <c r="AC9">
        <f>HYPERLINK("https://klasma.github.io/Logging_1276/tillsyn/A 28917-2026 tillsynsbegäran.docx", "A 28917-2026")</f>
        <v/>
      </c>
      <c r="AD9">
        <f>HYPERLINK("https://klasma.github.io/Logging_1276/tillsynsmail/A 28917-2026 tillsynsbegäran mail.docx", "A 28917-2026")</f>
        <v/>
      </c>
      <c r="AE9">
        <f>HYPERLINK("https://klasma.github.io/Logging_1276/fåglar/A 28917-2026 prioriterade fågelarter.docx", "A 28917-2026")</f>
        <v/>
      </c>
    </row>
    <row r="10" ht="15" customHeight="1">
      <c r="A10" t="inlineStr">
        <is>
          <t>A 15794-2026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46107</v>
      </c>
      <c r="E10" s="1" t="n">
        <v>46326</v>
      </c>
      <c r="F10" t="inlineStr">
        <is>
          <t>SKÅNE LÄN</t>
        </is>
      </c>
      <c r="G10" t="inlineStr">
        <is>
          <t>KLIPPAN</t>
        </is>
      </c>
      <c r="I10" t="n">
        <v>2.1</v>
      </c>
      <c r="J10" t="n">
        <v>6</v>
      </c>
      <c r="K10" t="n">
        <v>0</v>
      </c>
      <c r="L10" t="n">
        <v>4</v>
      </c>
      <c r="M10" t="n">
        <v>0</v>
      </c>
      <c r="N10" t="n">
        <v>0</v>
      </c>
      <c r="O10" t="n">
        <v>0</v>
      </c>
      <c r="P10" t="n">
        <v>0</v>
      </c>
      <c r="Q10" t="n">
        <v>4</v>
      </c>
      <c r="R10" t="n">
        <v>0</v>
      </c>
      <c r="S10" t="n">
        <v>7</v>
      </c>
      <c r="T10" t="n">
        <v>7</v>
      </c>
      <c r="U10" t="n">
        <v>7</v>
      </c>
      <c r="V10" s="2" t="inlineStr">
        <is>
          <t>Entita
Gullpudra
Gulsparv
Rödvingetrast
Spillkråka
Kungsfågel
Skogsduva</t>
        </is>
      </c>
      <c r="W10">
        <f>HYPERLINK("https://klasma.github.io/Logging_1276/artfynd/A 15794-2026 artfynd.xlsx", "A 15794-2026")</f>
        <v/>
      </c>
      <c r="X10">
        <f>HYPERLINK("https://klasma.github.io/Logging_1276/kartor/A 15794-2026 karta.png", "A 15794-2026")</f>
        <v/>
      </c>
      <c r="Y10">
        <f>HYPERLINK("https://klasma.github.io/Logging_1276/kartor_geotiff/A 15794-2026 georefererad karta.tif", "A 15794-2026")</f>
        <v/>
      </c>
      <c r="AA10">
        <f>HYPERLINK("https://klasma.github.io/Logging_1276/klagomål/A 15794-2026 FSC-klagomål.docx", "A 15794-2026")</f>
        <v/>
      </c>
      <c r="AB10">
        <f>HYPERLINK("https://klasma.github.io/Logging_1276/klagomålsmail/A 15794-2026 FSC-klagomål mail.docx", "A 15794-2026")</f>
        <v/>
      </c>
      <c r="AC10">
        <f>HYPERLINK("https://klasma.github.io/Logging_1276/tillsyn/A 15794-2026 tillsynsbegäran.docx", "A 15794-2026")</f>
        <v/>
      </c>
      <c r="AD10">
        <f>HYPERLINK("https://klasma.github.io/Logging_1276/tillsynsmail/A 15794-2026 tillsynsbegäran mail.docx", "A 15794-2026")</f>
        <v/>
      </c>
      <c r="AE10">
        <f>HYPERLINK("https://klasma.github.io/Logging_1276/fåglar/A 15794-2026 prioriterade fågelarter.docx", "A 15794-2026")</f>
        <v/>
      </c>
    </row>
    <row r="11" ht="15" customHeight="1">
      <c r="A11" t="inlineStr">
        <is>
          <t>A 37092-2026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46273</v>
      </c>
      <c r="E11" s="1" t="n">
        <v>46326</v>
      </c>
      <c r="F11" t="inlineStr">
        <is>
          <t>SKÅNE LÄN</t>
        </is>
      </c>
      <c r="G11" t="inlineStr">
        <is>
          <t>KLIPPAN</t>
        </is>
      </c>
      <c r="I11" t="n">
        <v>14.4</v>
      </c>
      <c r="J11" t="n">
        <v>2</v>
      </c>
      <c r="K11" t="n">
        <v>1</v>
      </c>
      <c r="L11" t="n">
        <v>3</v>
      </c>
      <c r="M11" t="n">
        <v>1</v>
      </c>
      <c r="N11" t="n">
        <v>0</v>
      </c>
      <c r="O11" t="n">
        <v>0</v>
      </c>
      <c r="P11" t="n">
        <v>0</v>
      </c>
      <c r="Q11" t="n">
        <v>4</v>
      </c>
      <c r="R11" t="n">
        <v>1</v>
      </c>
      <c r="S11" t="n">
        <v>6</v>
      </c>
      <c r="T11" t="n">
        <v>9</v>
      </c>
      <c r="U11" t="n">
        <v>9</v>
      </c>
      <c r="V11" s="2" t="inlineStr">
        <is>
          <t>Vedlavklubba
Entita
Stor sotdyna
Sydlig sotticka
Gulnål
Bergfink</t>
        </is>
      </c>
      <c r="W11">
        <f>HYPERLINK("https://klasma.github.io/Logging_1276/artfynd/A 37092-2026 artfynd.xlsx", "A 37092-2026")</f>
        <v/>
      </c>
      <c r="X11">
        <f>HYPERLINK("https://klasma.github.io/Logging_1276/kartor/A 37092-2026 karta.png", "A 37092-2026")</f>
        <v/>
      </c>
      <c r="Y11">
        <f>HYPERLINK("https://klasma.github.io/Logging_1276/kartor_geotiff/A 37092-2026 georefererad karta.tif", "A 37092-2026")</f>
        <v/>
      </c>
      <c r="AA11">
        <f>HYPERLINK("https://klasma.github.io/Logging_1276/klagomål/A 37092-2026 FSC-klagomål.docx", "A 37092-2026")</f>
        <v/>
      </c>
      <c r="AB11">
        <f>HYPERLINK("https://klasma.github.io/Logging_1276/klagomålsmail/A 37092-2026 FSC-klagomål mail.docx", "A 37092-2026")</f>
        <v/>
      </c>
      <c r="AC11">
        <f>HYPERLINK("https://klasma.github.io/Logging_1276/tillsyn/A 37092-2026 tillsynsbegäran.docx", "A 37092-2026")</f>
        <v/>
      </c>
      <c r="AD11">
        <f>HYPERLINK("https://klasma.github.io/Logging_1276/tillsynsmail/A 37092-2026 tillsynsbegäran mail.docx", "A 37092-2026")</f>
        <v/>
      </c>
      <c r="AE11">
        <f>HYPERLINK("https://klasma.github.io/Logging_1276/fåglar/A 37092-2026 prioriterade fågelarter.docx", "A 37092-2026")</f>
        <v/>
      </c>
    </row>
    <row r="12" ht="15" customHeight="1">
      <c r="A12" t="inlineStr">
        <is>
          <t>A 37966-2024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45544</v>
      </c>
      <c r="E12" s="1" t="n">
        <v>46326</v>
      </c>
      <c r="F12" t="inlineStr">
        <is>
          <t>SKÅNE LÄN</t>
        </is>
      </c>
      <c r="G12" t="inlineStr">
        <is>
          <t>KLIPPAN</t>
        </is>
      </c>
      <c r="I12" t="n">
        <v>2.5</v>
      </c>
      <c r="J12" t="n">
        <v>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5</v>
      </c>
      <c r="U12" t="n">
        <v>5</v>
      </c>
      <c r="V12" s="2" t="inlineStr">
        <is>
          <t>Grönsiska
Röd glada
Större vattensalamander
Trana
Vanlig padda</t>
        </is>
      </c>
      <c r="W12">
        <f>HYPERLINK("https://klasma.github.io/Logging_1276/artfynd/A 37966-2024 artfynd.xlsx", "A 37966-2024")</f>
        <v/>
      </c>
      <c r="X12">
        <f>HYPERLINK("https://klasma.github.io/Logging_1276/kartor/A 37966-2024 karta.png", "A 37966-2024")</f>
        <v/>
      </c>
      <c r="Y12">
        <f>HYPERLINK("https://klasma.github.io/Logging_1276/kartor_geotiff/A 37966-2024 georefererad karta.tif", "A 37966-2024")</f>
        <v/>
      </c>
      <c r="AA12">
        <f>HYPERLINK("https://klasma.github.io/Logging_1276/klagomål/A 37966-2024 FSC-klagomål.docx", "A 37966-2024")</f>
        <v/>
      </c>
      <c r="AB12">
        <f>HYPERLINK("https://klasma.github.io/Logging_1276/klagomålsmail/A 37966-2024 FSC-klagomål mail.docx", "A 37966-2024")</f>
        <v/>
      </c>
      <c r="AC12">
        <f>HYPERLINK("https://klasma.github.io/Logging_1276/tillsyn/A 37966-2024 tillsynsbegäran.docx", "A 37966-2024")</f>
        <v/>
      </c>
      <c r="AD12">
        <f>HYPERLINK("https://klasma.github.io/Logging_1276/tillsynsmail/A 37966-2024 tillsynsbegäran mail.docx", "A 37966-2024")</f>
        <v/>
      </c>
      <c r="AE12">
        <f>HYPERLINK("https://klasma.github.io/Logging_1276/fåglar/A 37966-2024 prioriterade fågelarter.docx", "A 37966-2024")</f>
        <v/>
      </c>
    </row>
    <row r="13" ht="15" customHeight="1">
      <c r="A13" t="inlineStr">
        <is>
          <t>A 15788-2026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46107</v>
      </c>
      <c r="E13" s="1" t="n">
        <v>46326</v>
      </c>
      <c r="F13" t="inlineStr">
        <is>
          <t>SKÅNE LÄN</t>
        </is>
      </c>
      <c r="G13" t="inlineStr">
        <is>
          <t>KLIPPAN</t>
        </is>
      </c>
      <c r="I13" t="n">
        <v>3.9</v>
      </c>
      <c r="J13" t="n">
        <v>5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5</v>
      </c>
      <c r="T13" t="n">
        <v>5</v>
      </c>
      <c r="U13" t="n">
        <v>5</v>
      </c>
      <c r="V13" s="2" t="inlineStr">
        <is>
          <t>Entita
Gulsparv
Rödvingetrast
Spillkråka
Skogsduva</t>
        </is>
      </c>
      <c r="W13">
        <f>HYPERLINK("https://klasma.github.io/Logging_1276/artfynd/A 15788-2026 artfynd.xlsx", "A 15788-2026")</f>
        <v/>
      </c>
      <c r="X13">
        <f>HYPERLINK("https://klasma.github.io/Logging_1276/kartor/A 15788-2026 karta.png", "A 15788-2026")</f>
        <v/>
      </c>
      <c r="Y13">
        <f>HYPERLINK("https://klasma.github.io/Logging_1276/kartor_geotiff/A 15788-2026 georefererad karta.tif", "A 15788-2026")</f>
        <v/>
      </c>
      <c r="AA13">
        <f>HYPERLINK("https://klasma.github.io/Logging_1276/klagomål/A 15788-2026 FSC-klagomål.docx", "A 15788-2026")</f>
        <v/>
      </c>
      <c r="AB13">
        <f>HYPERLINK("https://klasma.github.io/Logging_1276/klagomålsmail/A 15788-2026 FSC-klagomål mail.docx", "A 15788-2026")</f>
        <v/>
      </c>
      <c r="AC13">
        <f>HYPERLINK("https://klasma.github.io/Logging_1276/tillsyn/A 15788-2026 tillsynsbegäran.docx", "A 15788-2026")</f>
        <v/>
      </c>
      <c r="AD13">
        <f>HYPERLINK("https://klasma.github.io/Logging_1276/tillsynsmail/A 15788-2026 tillsynsbegäran mail.docx", "A 15788-2026")</f>
        <v/>
      </c>
      <c r="AE13">
        <f>HYPERLINK("https://klasma.github.io/Logging_1276/fåglar/A 15788-2026 prioriterade fågelarter.docx", "A 15788-2026")</f>
        <v/>
      </c>
    </row>
    <row r="14" ht="15" customHeight="1">
      <c r="A14" t="inlineStr">
        <is>
          <t>S 221-2023</t>
        </is>
      </c>
      <c r="B14" t="inlineStr">
        <is>
          <t>samrådsanmälan</t>
        </is>
      </c>
      <c r="C14" t="inlineStr">
        <is>
          <t>Askåterföring</t>
        </is>
      </c>
      <c r="D14" s="1" t="n">
        <v>44949</v>
      </c>
      <c r="E14" s="1" t="n">
        <v>46326</v>
      </c>
      <c r="F14" t="inlineStr">
        <is>
          <t>SKÅNE LÄN</t>
        </is>
      </c>
      <c r="G14" t="inlineStr">
        <is>
          <t>KLIPPAN</t>
        </is>
      </c>
      <c r="I14" t="n">
        <v>57.2</v>
      </c>
      <c r="J14" t="n">
        <v>5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5</v>
      </c>
      <c r="T14" t="n">
        <v>7</v>
      </c>
      <c r="U14" t="n">
        <v>7</v>
      </c>
      <c r="V14" s="2" t="inlineStr">
        <is>
          <t>Mindre hackspett
Större vattensalamander
Vanlig groda
Vanlig padda
Grönvit nattviol</t>
        </is>
      </c>
      <c r="W14">
        <f>HYPERLINK("https://klasma.github.io/Logging_1276/artfynd/S 221-2023 artfynd.xlsx", "S 221-2023")</f>
        <v/>
      </c>
      <c r="X14">
        <f>HYPERLINK("https://klasma.github.io/Logging_1276/kartor/S 221-2023 karta.png", "S 221-2023")</f>
        <v/>
      </c>
      <c r="Y14">
        <f>HYPERLINK("https://klasma.github.io/Logging_1276/kartor_geotiff/S 221-2023 georefererad karta.tif", "S 221-2023")</f>
        <v/>
      </c>
      <c r="AA14">
        <f>HYPERLINK("https://klasma.github.io/Logging_1276/klagomål/S 221-2023 FSC-klagomål.docx", "S 221-2023")</f>
        <v/>
      </c>
      <c r="AB14">
        <f>HYPERLINK("https://klasma.github.io/Logging_1276/klagomålsmail/S 221-2023 FSC-klagomål mail.docx", "S 221-2023")</f>
        <v/>
      </c>
      <c r="AC14">
        <f>HYPERLINK("https://klasma.github.io/Logging_1276/tillsyn/S 221-2023 tillsynsbegäran.docx", "S 221-2023")</f>
        <v/>
      </c>
      <c r="AD14">
        <f>HYPERLINK("https://klasma.github.io/Logging_1276/tillsynsmail/S 221-2023 tillsynsbegäran mail.docx", "S 221-2023")</f>
        <v/>
      </c>
      <c r="AE14">
        <f>HYPERLINK("https://klasma.github.io/Logging_1276/fåglar/S 221-2023 prioriterade fågelarter.docx", "S 221-2023")</f>
        <v/>
      </c>
    </row>
    <row r="15" ht="15" customHeight="1">
      <c r="A15" t="inlineStr">
        <is>
          <t>A 42004-2025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45903</v>
      </c>
      <c r="E15" s="1" t="n">
        <v>46326</v>
      </c>
      <c r="F15" t="inlineStr">
        <is>
          <t>SKÅNE LÄN</t>
        </is>
      </c>
      <c r="G15" t="inlineStr">
        <is>
          <t>KLIPPAN</t>
        </is>
      </c>
      <c r="I15" t="n">
        <v>10.1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5</v>
      </c>
      <c r="U15" t="n">
        <v>4</v>
      </c>
      <c r="V15" s="2" t="inlineStr">
        <is>
          <t>Spillkråka
Gröngöling
Kungsfågel
Skogsduva</t>
        </is>
      </c>
      <c r="W15">
        <f>HYPERLINK("https://klasma.github.io/Logging_1276/artfynd/A 42004-2025 artfynd.xlsx", "A 42004-2025")</f>
        <v/>
      </c>
      <c r="X15">
        <f>HYPERLINK("https://klasma.github.io/Logging_1276/kartor/A 42004-2025 karta.png", "A 42004-2025")</f>
        <v/>
      </c>
      <c r="Y15">
        <f>HYPERLINK("https://klasma.github.io/Logging_1276/kartor_geotiff/A 42004-2025 georefererad karta.tif", "A 42004-2025")</f>
        <v/>
      </c>
      <c r="AA15">
        <f>HYPERLINK("https://klasma.github.io/Logging_1276/klagomål/A 42004-2025 FSC-klagomål.docx", "A 42004-2025")</f>
        <v/>
      </c>
      <c r="AB15">
        <f>HYPERLINK("https://klasma.github.io/Logging_1276/klagomålsmail/A 42004-2025 FSC-klagomål mail.docx", "A 42004-2025")</f>
        <v/>
      </c>
      <c r="AC15">
        <f>HYPERLINK("https://klasma.github.io/Logging_1276/tillsyn/A 42004-2025 tillsynsbegäran.docx", "A 42004-2025")</f>
        <v/>
      </c>
      <c r="AD15">
        <f>HYPERLINK("https://klasma.github.io/Logging_1276/tillsynsmail/A 42004-2025 tillsynsbegäran mail.docx", "A 42004-2025")</f>
        <v/>
      </c>
      <c r="AE15">
        <f>HYPERLINK("https://klasma.github.io/Logging_1276/fåglar/A 42004-2025 prioriterade fågelarter.docx", "A 42004-2025")</f>
        <v/>
      </c>
    </row>
    <row r="16" ht="15" customHeight="1">
      <c r="A16" t="inlineStr">
        <is>
          <t>A 46256-2024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45581</v>
      </c>
      <c r="E16" s="1" t="n">
        <v>46326</v>
      </c>
      <c r="F16" t="inlineStr">
        <is>
          <t>SKÅNE LÄN</t>
        </is>
      </c>
      <c r="G16" t="inlineStr">
        <is>
          <t>KLIPPAN</t>
        </is>
      </c>
      <c r="H16" t="inlineStr">
        <is>
          <t>Sveaskog</t>
        </is>
      </c>
      <c r="I16" t="n">
        <v>3.1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4</v>
      </c>
      <c r="U16" t="n">
        <v>4</v>
      </c>
      <c r="V16" s="2" t="inlineStr">
        <is>
          <t>Rostfläck
Västlig hakmossa
Spillkråka</t>
        </is>
      </c>
      <c r="W16">
        <f>HYPERLINK("https://klasma.github.io/Logging_1276/artfynd/A 46256-2024 artfynd.xlsx", "A 46256-2024")</f>
        <v/>
      </c>
      <c r="X16">
        <f>HYPERLINK("https://klasma.github.io/Logging_1276/kartor/A 46256-2024 karta.png", "A 46256-2024")</f>
        <v/>
      </c>
      <c r="Y16">
        <f>HYPERLINK("https://klasma.github.io/Logging_1276/kartor_geotiff/A 46256-2024 georefererad karta.tif", "A 46256-2024")</f>
        <v/>
      </c>
      <c r="AA16">
        <f>HYPERLINK("https://klasma.github.io/Logging_1276/klagomål/A 46256-2024 FSC-klagomål.docx", "A 46256-2024")</f>
        <v/>
      </c>
      <c r="AB16">
        <f>HYPERLINK("https://klasma.github.io/Logging_1276/klagomålsmail/A 46256-2024 FSC-klagomål mail.docx", "A 46256-2024")</f>
        <v/>
      </c>
      <c r="AC16">
        <f>HYPERLINK("https://klasma.github.io/Logging_1276/tillsyn/A 46256-2024 tillsynsbegäran.docx", "A 46256-2024")</f>
        <v/>
      </c>
      <c r="AD16">
        <f>HYPERLINK("https://klasma.github.io/Logging_1276/tillsynsmail/A 46256-2024 tillsynsbegäran mail.docx", "A 46256-2024")</f>
        <v/>
      </c>
      <c r="AE16">
        <f>HYPERLINK("https://klasma.github.io/Logging_1276/fåglar/A 46256-2024 prioriterade fågelarter.docx", "A 46256-2024")</f>
        <v/>
      </c>
    </row>
    <row r="17" ht="15" customHeight="1">
      <c r="A17" t="inlineStr">
        <is>
          <t>A 50089-2023</t>
        </is>
      </c>
      <c r="B17" t="inlineStr">
        <is>
          <t>avverkningsanmälan</t>
        </is>
      </c>
      <c r="C17" t="inlineStr">
        <is>
          <t>Avverkning för annat ändamål</t>
        </is>
      </c>
      <c r="D17" s="1" t="n">
        <v>45208</v>
      </c>
      <c r="E17" s="1" t="n">
        <v>46326</v>
      </c>
      <c r="F17" t="inlineStr">
        <is>
          <t>SKÅNE LÄN</t>
        </is>
      </c>
      <c r="G17" t="inlineStr">
        <is>
          <t>KLIPPAN</t>
        </is>
      </c>
      <c r="I17" t="n">
        <v>13.6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3</v>
      </c>
      <c r="T17" t="n">
        <v>3</v>
      </c>
      <c r="U17" t="n">
        <v>0</v>
      </c>
      <c r="V17" s="2" t="inlineStr">
        <is>
          <t>Entita
Grönsiska
Kungsfågel</t>
        </is>
      </c>
      <c r="W17">
        <f>HYPERLINK("https://klasma.github.io/Logging_1276/artfynd/A 50089-2023 artfynd.xlsx", "A 50089-2023")</f>
        <v/>
      </c>
      <c r="X17">
        <f>HYPERLINK("https://klasma.github.io/Logging_1276/kartor/A 50089-2023 karta.png", "A 50089-2023")</f>
        <v/>
      </c>
      <c r="Y17">
        <f>HYPERLINK("https://klasma.github.io/Logging_1276/kartor_geotiff/A 50089-2023 georefererad karta.tif", "A 50089-2023")</f>
        <v/>
      </c>
      <c r="AA17">
        <f>HYPERLINK("https://klasma.github.io/Logging_1276/klagomål/A 50089-2023 FSC-klagomål.docx", "A 50089-2023")</f>
        <v/>
      </c>
      <c r="AB17">
        <f>HYPERLINK("https://klasma.github.io/Logging_1276/klagomålsmail/A 50089-2023 FSC-klagomål mail.docx", "A 50089-2023")</f>
        <v/>
      </c>
      <c r="AC17">
        <f>HYPERLINK("https://klasma.github.io/Logging_1276/tillsyn/A 50089-2023 tillsynsbegäran.docx", "A 50089-2023")</f>
        <v/>
      </c>
      <c r="AD17">
        <f>HYPERLINK("https://klasma.github.io/Logging_1276/tillsynsmail/A 50089-2023 tillsynsbegäran mail.docx", "A 50089-2023")</f>
        <v/>
      </c>
      <c r="AE17">
        <f>HYPERLINK("https://klasma.github.io/Logging_1276/fåglar/A 50089-2023 prioriterade fågelarter.docx", "A 50089-2023")</f>
        <v/>
      </c>
    </row>
    <row r="18" ht="15" customHeight="1">
      <c r="A18" t="inlineStr">
        <is>
          <t>A 2839-2026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46038</v>
      </c>
      <c r="E18" s="1" t="n">
        <v>46326</v>
      </c>
      <c r="F18" t="inlineStr">
        <is>
          <t>SKÅNE LÄN</t>
        </is>
      </c>
      <c r="G18" t="inlineStr">
        <is>
          <t>KLIPPAN</t>
        </is>
      </c>
      <c r="I18" t="n">
        <v>2.4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3</v>
      </c>
      <c r="T18" t="n">
        <v>4</v>
      </c>
      <c r="U18" t="n">
        <v>4</v>
      </c>
      <c r="V18" s="2" t="inlineStr">
        <is>
          <t>Entita
Mindre hackspett
Stjärtmes</t>
        </is>
      </c>
      <c r="W18">
        <f>HYPERLINK("https://klasma.github.io/Logging_1276/artfynd/A 2839-2026 artfynd.xlsx", "A 2839-2026")</f>
        <v/>
      </c>
      <c r="X18">
        <f>HYPERLINK("https://klasma.github.io/Logging_1276/kartor/A 2839-2026 karta.png", "A 2839-2026")</f>
        <v/>
      </c>
      <c r="Y18">
        <f>HYPERLINK("https://klasma.github.io/Logging_1276/kartor_geotiff/A 2839-2026 georefererad karta.tif", "A 2839-2026")</f>
        <v/>
      </c>
      <c r="AA18">
        <f>HYPERLINK("https://klasma.github.io/Logging_1276/klagomål/A 2839-2026 FSC-klagomål.docx", "A 2839-2026")</f>
        <v/>
      </c>
      <c r="AB18">
        <f>HYPERLINK("https://klasma.github.io/Logging_1276/klagomålsmail/A 2839-2026 FSC-klagomål mail.docx", "A 2839-2026")</f>
        <v/>
      </c>
      <c r="AC18">
        <f>HYPERLINK("https://klasma.github.io/Logging_1276/tillsyn/A 2839-2026 tillsynsbegäran.docx", "A 2839-2026")</f>
        <v/>
      </c>
      <c r="AD18">
        <f>HYPERLINK("https://klasma.github.io/Logging_1276/tillsynsmail/A 2839-2026 tillsynsbegäran mail.docx", "A 2839-2026")</f>
        <v/>
      </c>
      <c r="AE18">
        <f>HYPERLINK("https://klasma.github.io/Logging_1276/fåglar/A 2839-2026 prioriterade fågelarter.docx", "A 2839-2026")</f>
        <v/>
      </c>
    </row>
    <row r="19" ht="15" customHeight="1">
      <c r="A19" t="inlineStr">
        <is>
          <t>A 45242-2025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45919</v>
      </c>
      <c r="E19" s="1" t="n">
        <v>46326</v>
      </c>
      <c r="F19" t="inlineStr">
        <is>
          <t>SKÅNE LÄN</t>
        </is>
      </c>
      <c r="G19" t="inlineStr">
        <is>
          <t>KLIPPAN</t>
        </is>
      </c>
      <c r="I19" t="n">
        <v>2.2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</v>
      </c>
      <c r="T19" t="n">
        <v>3</v>
      </c>
      <c r="U19" t="n">
        <v>3</v>
      </c>
      <c r="V19" s="2" t="inlineStr">
        <is>
          <t>Blåmossa
Spillkråka
Kungsfågel</t>
        </is>
      </c>
      <c r="W19">
        <f>HYPERLINK("https://klasma.github.io/Logging_1276/artfynd/A 45242-2025 artfynd.xlsx", "A 45242-2025")</f>
        <v/>
      </c>
      <c r="X19">
        <f>HYPERLINK("https://klasma.github.io/Logging_1276/kartor/A 45242-2025 karta.png", "A 45242-2025")</f>
        <v/>
      </c>
      <c r="Y19">
        <f>HYPERLINK("https://klasma.github.io/Logging_1276/kartor_geotiff/A 45242-2025 georefererad karta.tif", "A 45242-2025")</f>
        <v/>
      </c>
      <c r="AA19">
        <f>HYPERLINK("https://klasma.github.io/Logging_1276/klagomål/A 45242-2025 FSC-klagomål.docx", "A 45242-2025")</f>
        <v/>
      </c>
      <c r="AB19">
        <f>HYPERLINK("https://klasma.github.io/Logging_1276/klagomålsmail/A 45242-2025 FSC-klagomål mail.docx", "A 45242-2025")</f>
        <v/>
      </c>
      <c r="AC19">
        <f>HYPERLINK("https://klasma.github.io/Logging_1276/tillsyn/A 45242-2025 tillsynsbegäran.docx", "A 45242-2025")</f>
        <v/>
      </c>
      <c r="AD19">
        <f>HYPERLINK("https://klasma.github.io/Logging_1276/tillsynsmail/A 45242-2025 tillsynsbegäran mail.docx", "A 45242-2025")</f>
        <v/>
      </c>
      <c r="AE19">
        <f>HYPERLINK("https://klasma.github.io/Logging_1276/fåglar/A 45242-2025 prioriterade fågelarter.docx", "A 45242-2025")</f>
        <v/>
      </c>
    </row>
    <row r="20" ht="15" customHeight="1">
      <c r="A20" t="inlineStr">
        <is>
          <t>A 53878-2022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44880</v>
      </c>
      <c r="E20" s="1" t="n">
        <v>46326</v>
      </c>
      <c r="F20" t="inlineStr">
        <is>
          <t>SKÅNE LÄN</t>
        </is>
      </c>
      <c r="G20" t="inlineStr">
        <is>
          <t>KLIPPAN</t>
        </is>
      </c>
      <c r="I20" t="n">
        <v>8.300000000000001</v>
      </c>
      <c r="J20" t="n">
        <v>3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3</v>
      </c>
      <c r="T20" t="n">
        <v>3</v>
      </c>
      <c r="U20" t="n">
        <v>3</v>
      </c>
      <c r="V20" s="2" t="inlineStr">
        <is>
          <t>Entita
Gulsparv
Grönvit nattviol</t>
        </is>
      </c>
      <c r="W20">
        <f>HYPERLINK("https://klasma.github.io/Logging_1276/artfynd/A 53878-2022 artfynd.xlsx", "A 53878-2022")</f>
        <v/>
      </c>
      <c r="X20">
        <f>HYPERLINK("https://klasma.github.io/Logging_1276/kartor/A 53878-2022 karta.png", "A 53878-2022")</f>
        <v/>
      </c>
      <c r="Y20">
        <f>HYPERLINK("https://klasma.github.io/Logging_1276/kartor_geotiff/A 53878-2022 georefererad karta.tif", "A 53878-2022")</f>
        <v/>
      </c>
      <c r="AA20">
        <f>HYPERLINK("https://klasma.github.io/Logging_1276/klagomål/A 53878-2022 FSC-klagomål.docx", "A 53878-2022")</f>
        <v/>
      </c>
      <c r="AB20">
        <f>HYPERLINK("https://klasma.github.io/Logging_1276/klagomålsmail/A 53878-2022 FSC-klagomål mail.docx", "A 53878-2022")</f>
        <v/>
      </c>
      <c r="AC20">
        <f>HYPERLINK("https://klasma.github.io/Logging_1276/tillsyn/A 53878-2022 tillsynsbegäran.docx", "A 53878-2022")</f>
        <v/>
      </c>
      <c r="AD20">
        <f>HYPERLINK("https://klasma.github.io/Logging_1276/tillsynsmail/A 53878-2022 tillsynsbegäran mail.docx", "A 53878-2022")</f>
        <v/>
      </c>
      <c r="AE20">
        <f>HYPERLINK("https://klasma.github.io/Logging_1276/fåglar/A 53878-2022 prioriterade fågelarter.docx", "A 53878-2022")</f>
        <v/>
      </c>
    </row>
    <row r="21" ht="15" customHeight="1">
      <c r="A21" t="inlineStr">
        <is>
          <t>A 56759-2023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45238</v>
      </c>
      <c r="E21" s="1" t="n">
        <v>46326</v>
      </c>
      <c r="F21" t="inlineStr">
        <is>
          <t>SKÅNE LÄN</t>
        </is>
      </c>
      <c r="G21" t="inlineStr">
        <is>
          <t>KLIPPAN</t>
        </is>
      </c>
      <c r="I21" t="n">
        <v>7.4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3</v>
      </c>
      <c r="T21" t="n">
        <v>4</v>
      </c>
      <c r="U21" t="n">
        <v>4</v>
      </c>
      <c r="V21" s="2" t="inlineStr">
        <is>
          <t>Entita
Svart skogssnigel
Blåbär</t>
        </is>
      </c>
      <c r="W21">
        <f>HYPERLINK("https://klasma.github.io/Logging_1276/artfynd/A 56759-2023 artfynd.xlsx", "A 56759-2023")</f>
        <v/>
      </c>
      <c r="X21">
        <f>HYPERLINK("https://klasma.github.io/Logging_1276/kartor/A 56759-2023 karta.png", "A 56759-2023")</f>
        <v/>
      </c>
      <c r="Y21">
        <f>HYPERLINK("https://klasma.github.io/Logging_1276/kartor_geotiff/A 56759-2023 georefererad karta.tif", "A 56759-2023")</f>
        <v/>
      </c>
      <c r="AA21">
        <f>HYPERLINK("https://klasma.github.io/Logging_1276/klagomål/A 56759-2023 FSC-klagomål.docx", "A 56759-2023")</f>
        <v/>
      </c>
      <c r="AB21">
        <f>HYPERLINK("https://klasma.github.io/Logging_1276/klagomålsmail/A 56759-2023 FSC-klagomål mail.docx", "A 56759-2023")</f>
        <v/>
      </c>
      <c r="AC21">
        <f>HYPERLINK("https://klasma.github.io/Logging_1276/tillsyn/A 56759-2023 tillsynsbegäran.docx", "A 56759-2023")</f>
        <v/>
      </c>
      <c r="AD21">
        <f>HYPERLINK("https://klasma.github.io/Logging_1276/tillsynsmail/A 56759-2023 tillsynsbegäran mail.docx", "A 56759-2023")</f>
        <v/>
      </c>
      <c r="AE21">
        <f>HYPERLINK("https://klasma.github.io/Logging_1276/fåglar/A 56759-2023 prioriterade fågelarter.docx", "A 56759-2023")</f>
        <v/>
      </c>
    </row>
    <row r="22" ht="15" customHeight="1">
      <c r="A22" t="inlineStr">
        <is>
          <t>A 54644-2023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45235</v>
      </c>
      <c r="E22" s="1" t="n">
        <v>46326</v>
      </c>
      <c r="F22" t="inlineStr">
        <is>
          <t>SKÅNE LÄN</t>
        </is>
      </c>
      <c r="G22" t="inlineStr">
        <is>
          <t>KLIPPAN</t>
        </is>
      </c>
      <c r="I22" t="n">
        <v>8.1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3</v>
      </c>
      <c r="U22" t="n">
        <v>1</v>
      </c>
      <c r="V22" s="2" t="inlineStr">
        <is>
          <t>Havstulpanlav
Spillkråka
Skogsduva</t>
        </is>
      </c>
      <c r="W22">
        <f>HYPERLINK("https://klasma.github.io/Logging_1276/artfynd/A 54644-2023 artfynd.xlsx", "A 54644-2023")</f>
        <v/>
      </c>
      <c r="X22">
        <f>HYPERLINK("https://klasma.github.io/Logging_1276/kartor/A 54644-2023 karta.png", "A 54644-2023")</f>
        <v/>
      </c>
      <c r="Y22">
        <f>HYPERLINK("https://klasma.github.io/Logging_1276/kartor_geotiff/A 54644-2023 georefererad karta.tif", "A 54644-2023")</f>
        <v/>
      </c>
      <c r="AA22">
        <f>HYPERLINK("https://klasma.github.io/Logging_1276/klagomål/A 54644-2023 FSC-klagomål.docx", "A 54644-2023")</f>
        <v/>
      </c>
      <c r="AB22">
        <f>HYPERLINK("https://klasma.github.io/Logging_1276/klagomålsmail/A 54644-2023 FSC-klagomål mail.docx", "A 54644-2023")</f>
        <v/>
      </c>
      <c r="AC22">
        <f>HYPERLINK("https://klasma.github.io/Logging_1276/tillsyn/A 54644-2023 tillsynsbegäran.docx", "A 54644-2023")</f>
        <v/>
      </c>
      <c r="AD22">
        <f>HYPERLINK("https://klasma.github.io/Logging_1276/tillsynsmail/A 54644-2023 tillsynsbegäran mail.docx", "A 54644-2023")</f>
        <v/>
      </c>
      <c r="AE22">
        <f>HYPERLINK("https://klasma.github.io/Logging_1276/fåglar/A 54644-2023 prioriterade fågelarter.docx", "A 54644-2023")</f>
        <v/>
      </c>
    </row>
    <row r="23" ht="15" customHeight="1">
      <c r="A23" t="inlineStr">
        <is>
          <t>A 31525-2026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46223</v>
      </c>
      <c r="E23" s="1" t="n">
        <v>46326</v>
      </c>
      <c r="F23" t="inlineStr">
        <is>
          <t>SKÅNE LÄN</t>
        </is>
      </c>
      <c r="G23" t="inlineStr">
        <is>
          <t>KLIPPAN</t>
        </is>
      </c>
      <c r="I23" t="n">
        <v>0.4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3</v>
      </c>
      <c r="T23" t="n">
        <v>3</v>
      </c>
      <c r="U23" t="n">
        <v>2</v>
      </c>
      <c r="V23" s="2" t="inlineStr">
        <is>
          <t>Entita
Kruskantarell
Stjärtmes</t>
        </is>
      </c>
      <c r="W23">
        <f>HYPERLINK("https://klasma.github.io/Logging_1276/artfynd/A 31525-2026 artfynd.xlsx", "A 31525-2026")</f>
        <v/>
      </c>
      <c r="X23">
        <f>HYPERLINK("https://klasma.github.io/Logging_1276/kartor/A 31525-2026 karta.png", "A 31525-2026")</f>
        <v/>
      </c>
      <c r="Y23">
        <f>HYPERLINK("https://klasma.github.io/Logging_1276/kartor_geotiff/A 31525-2026 georefererad karta.tif", "A 31525-2026")</f>
        <v/>
      </c>
      <c r="AA23">
        <f>HYPERLINK("https://klasma.github.io/Logging_1276/klagomål/A 31525-2026 FSC-klagomål.docx", "A 31525-2026")</f>
        <v/>
      </c>
      <c r="AB23">
        <f>HYPERLINK("https://klasma.github.io/Logging_1276/klagomålsmail/A 31525-2026 FSC-klagomål mail.docx", "A 31525-2026")</f>
        <v/>
      </c>
      <c r="AC23">
        <f>HYPERLINK("https://klasma.github.io/Logging_1276/tillsyn/A 31525-2026 tillsynsbegäran.docx", "A 31525-2026")</f>
        <v/>
      </c>
      <c r="AD23">
        <f>HYPERLINK("https://klasma.github.io/Logging_1276/tillsynsmail/A 31525-2026 tillsynsbegäran mail.docx", "A 31525-2026")</f>
        <v/>
      </c>
      <c r="AE23">
        <f>HYPERLINK("https://klasma.github.io/Logging_1276/fåglar/A 31525-2026 prioriterade fågelarter.docx", "A 31525-2026")</f>
        <v/>
      </c>
    </row>
    <row r="24" ht="15" customHeight="1">
      <c r="A24" t="inlineStr">
        <is>
          <t>A 42774-2026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46309</v>
      </c>
      <c r="E24" s="1" t="n">
        <v>46326</v>
      </c>
      <c r="F24" t="inlineStr">
        <is>
          <t>SKÅNE LÄN</t>
        </is>
      </c>
      <c r="G24" t="inlineStr">
        <is>
          <t>KLIPPAN</t>
        </is>
      </c>
      <c r="I24" t="n">
        <v>2</v>
      </c>
      <c r="J24" t="n">
        <v>3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3</v>
      </c>
      <c r="T24" t="n">
        <v>5</v>
      </c>
      <c r="U24" t="n">
        <v>5</v>
      </c>
      <c r="V24" s="2" t="inlineStr">
        <is>
          <t>Entita
Rödvingetrast
Spillkråka</t>
        </is>
      </c>
      <c r="W24">
        <f>HYPERLINK("https://klasma.github.io/Logging_1276/artfynd/A 42774-2026 artfynd.xlsx", "A 42774-2026")</f>
        <v/>
      </c>
      <c r="X24">
        <f>HYPERLINK("https://klasma.github.io/Logging_1276/kartor/A 42774-2026 karta.png", "A 42774-2026")</f>
        <v/>
      </c>
      <c r="Y24">
        <f>HYPERLINK("https://klasma.github.io/Logging_1276/kartor_geotiff/A 42774-2026 georefererad karta.tif", "A 42774-2026")</f>
        <v/>
      </c>
      <c r="AA24">
        <f>HYPERLINK("https://klasma.github.io/Logging_1276/klagomål/A 42774-2026 FSC-klagomål.docx", "A 42774-2026")</f>
        <v/>
      </c>
      <c r="AB24">
        <f>HYPERLINK("https://klasma.github.io/Logging_1276/klagomålsmail/A 42774-2026 FSC-klagomål mail.docx", "A 42774-2026")</f>
        <v/>
      </c>
      <c r="AC24">
        <f>HYPERLINK("https://klasma.github.io/Logging_1276/tillsyn/A 42774-2026 tillsynsbegäran.docx", "A 42774-2026")</f>
        <v/>
      </c>
      <c r="AD24">
        <f>HYPERLINK("https://klasma.github.io/Logging_1276/tillsynsmail/A 42774-2026 tillsynsbegäran mail.docx", "A 42774-2026")</f>
        <v/>
      </c>
      <c r="AE24">
        <f>HYPERLINK("https://klasma.github.io/Logging_1276/fåglar/A 42774-2026 prioriterade fågelarter.docx", "A 42774-2026")</f>
        <v/>
      </c>
    </row>
    <row r="25" ht="15" customHeight="1">
      <c r="A25" t="inlineStr">
        <is>
          <t>S 5972-2022</t>
        </is>
      </c>
      <c r="B25" t="inlineStr">
        <is>
          <t>samrådsanmälan</t>
        </is>
      </c>
      <c r="C25" t="inlineStr">
        <is>
          <t>Askåterföring</t>
        </is>
      </c>
      <c r="D25" s="1" t="n">
        <v>44858</v>
      </c>
      <c r="E25" s="1" t="n">
        <v>46326</v>
      </c>
      <c r="F25" t="inlineStr">
        <is>
          <t>SKÅNE LÄN</t>
        </is>
      </c>
      <c r="G25" t="inlineStr">
        <is>
          <t>KLIPPAN</t>
        </is>
      </c>
      <c r="I25" t="n">
        <v>16.1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3</v>
      </c>
      <c r="U25" t="n">
        <v>1</v>
      </c>
      <c r="V25" s="2" t="inlineStr">
        <is>
          <t>Skogsknipprot
Grönsiska
Kungsfågel</t>
        </is>
      </c>
      <c r="W25">
        <f>HYPERLINK("https://klasma.github.io/Logging_1276/artfynd/S 5972-2022 artfynd.xlsx", "S 5972-2022")</f>
        <v/>
      </c>
      <c r="X25">
        <f>HYPERLINK("https://klasma.github.io/Logging_1276/kartor/S 5972-2022 karta.png", "S 5972-2022")</f>
        <v/>
      </c>
      <c r="Y25">
        <f>HYPERLINK("https://klasma.github.io/Logging_1276/kartor_geotiff/S 5972-2022 georefererad karta.tif", "S 5972-2022")</f>
        <v/>
      </c>
      <c r="AA25">
        <f>HYPERLINK("https://klasma.github.io/Logging_1276/klagomål/S 5972-2022 FSC-klagomål.docx", "S 5972-2022")</f>
        <v/>
      </c>
      <c r="AB25">
        <f>HYPERLINK("https://klasma.github.io/Logging_1276/klagomålsmail/S 5972-2022 FSC-klagomål mail.docx", "S 5972-2022")</f>
        <v/>
      </c>
      <c r="AC25">
        <f>HYPERLINK("https://klasma.github.io/Logging_1276/tillsyn/S 5972-2022 tillsynsbegäran.docx", "S 5972-2022")</f>
        <v/>
      </c>
      <c r="AD25">
        <f>HYPERLINK("https://klasma.github.io/Logging_1276/tillsynsmail/S 5972-2022 tillsynsbegäran mail.docx", "S 5972-2022")</f>
        <v/>
      </c>
    </row>
    <row r="26" ht="15" customHeight="1">
      <c r="A26" t="inlineStr">
        <is>
          <t>A 19094-2022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44691</v>
      </c>
      <c r="E26" s="1" t="n">
        <v>46326</v>
      </c>
      <c r="F26" t="inlineStr">
        <is>
          <t>SKÅNE LÄN</t>
        </is>
      </c>
      <c r="G26" t="inlineStr">
        <is>
          <t>KLIPPAN</t>
        </is>
      </c>
      <c r="I26" t="n">
        <v>0.6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2</v>
      </c>
      <c r="T26" t="n">
        <v>3</v>
      </c>
      <c r="U26" t="n">
        <v>1</v>
      </c>
      <c r="V26" s="2" t="inlineStr">
        <is>
          <t>Fläcklungört
Strutbräken</t>
        </is>
      </c>
      <c r="W26">
        <f>HYPERLINK("https://klasma.github.io/Logging_1276/artfynd/A 19094-2022 artfynd.xlsx", "A 19094-2022")</f>
        <v/>
      </c>
      <c r="X26">
        <f>HYPERLINK("https://klasma.github.io/Logging_1276/kartor/A 19094-2022 karta.png", "A 19094-2022")</f>
        <v/>
      </c>
      <c r="Y26">
        <f>HYPERLINK("https://klasma.github.io/Logging_1276/kartor_geotiff/A 19094-2022 georefererad karta.tif", "A 19094-2022")</f>
        <v/>
      </c>
      <c r="AA26">
        <f>HYPERLINK("https://klasma.github.io/Logging_1276/klagomål/A 19094-2022 FSC-klagomål.docx", "A 19094-2022")</f>
        <v/>
      </c>
      <c r="AB26">
        <f>HYPERLINK("https://klasma.github.io/Logging_1276/klagomålsmail/A 19094-2022 FSC-klagomål mail.docx", "A 19094-2022")</f>
        <v/>
      </c>
      <c r="AC26">
        <f>HYPERLINK("https://klasma.github.io/Logging_1276/tillsyn/A 19094-2022 tillsynsbegäran.docx", "A 19094-2022")</f>
        <v/>
      </c>
      <c r="AD26">
        <f>HYPERLINK("https://klasma.github.io/Logging_1276/tillsynsmail/A 19094-2022 tillsynsbegäran mail.docx", "A 19094-2022")</f>
        <v/>
      </c>
    </row>
    <row r="27" ht="15" customHeight="1">
      <c r="A27" t="inlineStr">
        <is>
          <t>A 5732-2022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44596</v>
      </c>
      <c r="E27" s="1" t="n">
        <v>46326</v>
      </c>
      <c r="F27" t="inlineStr">
        <is>
          <t>SKÅNE LÄN</t>
        </is>
      </c>
      <c r="G27" t="inlineStr">
        <is>
          <t>KLIPPAN</t>
        </is>
      </c>
      <c r="I27" t="n">
        <v>6.1</v>
      </c>
      <c r="J27" t="n">
        <v>2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2</v>
      </c>
      <c r="T27" t="n">
        <v>2</v>
      </c>
      <c r="U27" t="n">
        <v>2</v>
      </c>
      <c r="V27" s="2" t="inlineStr">
        <is>
          <t>Talltita
Kungsfågel</t>
        </is>
      </c>
      <c r="W27">
        <f>HYPERLINK("https://klasma.github.io/Logging_1276/artfynd/A 5732-2022 artfynd.xlsx", "A 5732-2022")</f>
        <v/>
      </c>
      <c r="X27">
        <f>HYPERLINK("https://klasma.github.io/Logging_1276/kartor/A 5732-2022 karta.png", "A 5732-2022")</f>
        <v/>
      </c>
      <c r="Y27">
        <f>HYPERLINK("https://klasma.github.io/Logging_1276/kartor_geotiff/A 5732-2022 georefererad karta.tif", "A 5732-2022")</f>
        <v/>
      </c>
      <c r="AA27">
        <f>HYPERLINK("https://klasma.github.io/Logging_1276/klagomål/A 5732-2022 FSC-klagomål.docx", "A 5732-2022")</f>
        <v/>
      </c>
      <c r="AB27">
        <f>HYPERLINK("https://klasma.github.io/Logging_1276/klagomålsmail/A 5732-2022 FSC-klagomål mail.docx", "A 5732-2022")</f>
        <v/>
      </c>
      <c r="AC27">
        <f>HYPERLINK("https://klasma.github.io/Logging_1276/tillsyn/A 5732-2022 tillsynsbegäran.docx", "A 5732-2022")</f>
        <v/>
      </c>
      <c r="AD27">
        <f>HYPERLINK("https://klasma.github.io/Logging_1276/tillsynsmail/A 5732-2022 tillsynsbegäran mail.docx", "A 5732-2022")</f>
        <v/>
      </c>
      <c r="AE27">
        <f>HYPERLINK("https://klasma.github.io/Logging_1276/fåglar/A 5732-2022 prioriterade fågelarter.docx", "A 5732-2022")</f>
        <v/>
      </c>
    </row>
    <row r="28" ht="15" customHeight="1">
      <c r="A28" t="inlineStr">
        <is>
          <t>A 5797-2024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45335</v>
      </c>
      <c r="E28" s="1" t="n">
        <v>46326</v>
      </c>
      <c r="F28" t="inlineStr">
        <is>
          <t>SKÅNE LÄN</t>
        </is>
      </c>
      <c r="G28" t="inlineStr">
        <is>
          <t>KLIPPAN</t>
        </is>
      </c>
      <c r="I28" t="n">
        <v>1.8</v>
      </c>
      <c r="J28" t="n">
        <v>2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2</v>
      </c>
      <c r="T28" t="n">
        <v>2</v>
      </c>
      <c r="U28" t="n">
        <v>2</v>
      </c>
      <c r="V28" s="2" t="inlineStr">
        <is>
          <t>Entita
Gröngöling</t>
        </is>
      </c>
      <c r="W28">
        <f>HYPERLINK("https://klasma.github.io/Logging_1276/artfynd/A 5797-2024 artfynd.xlsx", "A 5797-2024")</f>
        <v/>
      </c>
      <c r="X28">
        <f>HYPERLINK("https://klasma.github.io/Logging_1276/kartor/A 5797-2024 karta.png", "A 5797-2024")</f>
        <v/>
      </c>
      <c r="Y28">
        <f>HYPERLINK("https://klasma.github.io/Logging_1276/kartor_geotiff/A 5797-2024 georefererad karta.tif", "A 5797-2024")</f>
        <v/>
      </c>
      <c r="AA28">
        <f>HYPERLINK("https://klasma.github.io/Logging_1276/klagomål/A 5797-2024 FSC-klagomål.docx", "A 5797-2024")</f>
        <v/>
      </c>
      <c r="AB28">
        <f>HYPERLINK("https://klasma.github.io/Logging_1276/klagomålsmail/A 5797-2024 FSC-klagomål mail.docx", "A 5797-2024")</f>
        <v/>
      </c>
      <c r="AC28">
        <f>HYPERLINK("https://klasma.github.io/Logging_1276/tillsyn/A 5797-2024 tillsynsbegäran.docx", "A 5797-2024")</f>
        <v/>
      </c>
      <c r="AD28">
        <f>HYPERLINK("https://klasma.github.io/Logging_1276/tillsynsmail/A 5797-2024 tillsynsbegäran mail.docx", "A 5797-2024")</f>
        <v/>
      </c>
      <c r="AE28">
        <f>HYPERLINK("https://klasma.github.io/Logging_1276/fåglar/A 5797-2024 prioriterade fågelarter.docx", "A 5797-2024")</f>
        <v/>
      </c>
    </row>
    <row r="29" ht="15" customHeight="1">
      <c r="A29" t="inlineStr">
        <is>
          <t>A 11673-2022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44633</v>
      </c>
      <c r="E29" s="1" t="n">
        <v>46326</v>
      </c>
      <c r="F29" t="inlineStr">
        <is>
          <t>SKÅNE LÄN</t>
        </is>
      </c>
      <c r="G29" t="inlineStr">
        <is>
          <t>KLIPPAN</t>
        </is>
      </c>
      <c r="I29" t="n">
        <v>1.8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2</v>
      </c>
      <c r="T29" t="n">
        <v>2</v>
      </c>
      <c r="U29" t="n">
        <v>2</v>
      </c>
      <c r="V29" s="2" t="inlineStr">
        <is>
          <t>Talltita
Vanlig groda</t>
        </is>
      </c>
      <c r="W29">
        <f>HYPERLINK("https://klasma.github.io/Logging_1276/artfynd/A 11673-2022 artfynd.xlsx", "A 11673-2022")</f>
        <v/>
      </c>
      <c r="X29">
        <f>HYPERLINK("https://klasma.github.io/Logging_1276/kartor/A 11673-2022 karta.png", "A 11673-2022")</f>
        <v/>
      </c>
      <c r="Y29">
        <f>HYPERLINK("https://klasma.github.io/Logging_1276/kartor_geotiff/A 11673-2022 georefererad karta.tif", "A 11673-2022")</f>
        <v/>
      </c>
      <c r="AA29">
        <f>HYPERLINK("https://klasma.github.io/Logging_1276/klagomål/A 11673-2022 FSC-klagomål.docx", "A 11673-2022")</f>
        <v/>
      </c>
      <c r="AB29">
        <f>HYPERLINK("https://klasma.github.io/Logging_1276/klagomålsmail/A 11673-2022 FSC-klagomål mail.docx", "A 11673-2022")</f>
        <v/>
      </c>
      <c r="AC29">
        <f>HYPERLINK("https://klasma.github.io/Logging_1276/tillsyn/A 11673-2022 tillsynsbegäran.docx", "A 11673-2022")</f>
        <v/>
      </c>
      <c r="AD29">
        <f>HYPERLINK("https://klasma.github.io/Logging_1276/tillsynsmail/A 11673-2022 tillsynsbegäran mail.docx", "A 11673-2022")</f>
        <v/>
      </c>
      <c r="AE29">
        <f>HYPERLINK("https://klasma.github.io/Logging_1276/fåglar/A 11673-2022 prioriterade fågelarter.docx", "A 11673-2022")</f>
        <v/>
      </c>
    </row>
    <row r="30" ht="15" customHeight="1">
      <c r="A30" t="inlineStr">
        <is>
          <t>A 44567-2025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45917</v>
      </c>
      <c r="E30" s="1" t="n">
        <v>46326</v>
      </c>
      <c r="F30" t="inlineStr">
        <is>
          <t>SKÅNE LÄN</t>
        </is>
      </c>
      <c r="G30" t="inlineStr">
        <is>
          <t>KLIPPAN</t>
        </is>
      </c>
      <c r="I30" t="n">
        <v>17.3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2</v>
      </c>
      <c r="U30" t="n">
        <v>2</v>
      </c>
      <c r="V30" s="2" t="inlineStr">
        <is>
          <t>Grönsiska
Kråka</t>
        </is>
      </c>
      <c r="W30">
        <f>HYPERLINK("https://klasma.github.io/Logging_1276/artfynd/A 44567-2025 artfynd.xlsx", "A 44567-2025")</f>
        <v/>
      </c>
      <c r="X30">
        <f>HYPERLINK("https://klasma.github.io/Logging_1276/kartor/A 44567-2025 karta.png", "A 44567-2025")</f>
        <v/>
      </c>
      <c r="Y30">
        <f>HYPERLINK("https://klasma.github.io/Logging_1276/kartor_geotiff/A 44567-2025 georefererad karta.tif", "A 44567-2025")</f>
        <v/>
      </c>
      <c r="AA30">
        <f>HYPERLINK("https://klasma.github.io/Logging_1276/klagomål/A 44567-2025 FSC-klagomål.docx", "A 44567-2025")</f>
        <v/>
      </c>
      <c r="AB30">
        <f>HYPERLINK("https://klasma.github.io/Logging_1276/klagomålsmail/A 44567-2025 FSC-klagomål mail.docx", "A 44567-2025")</f>
        <v/>
      </c>
      <c r="AC30">
        <f>HYPERLINK("https://klasma.github.io/Logging_1276/tillsyn/A 44567-2025 tillsynsbegäran.docx", "A 44567-2025")</f>
        <v/>
      </c>
      <c r="AD30">
        <f>HYPERLINK("https://klasma.github.io/Logging_1276/tillsynsmail/A 44567-2025 tillsynsbegäran mail.docx", "A 44567-2025")</f>
        <v/>
      </c>
    </row>
    <row r="31" ht="15" customHeight="1">
      <c r="A31" t="inlineStr">
        <is>
          <t>A 59769-2025</t>
        </is>
      </c>
      <c r="B31" t="inlineStr">
        <is>
          <t>avverkningsanmälan</t>
        </is>
      </c>
      <c r="C31" t="inlineStr">
        <is>
          <t>Avverkning för att bevara och utveckla /försöksver</t>
        </is>
      </c>
      <c r="D31" s="1" t="n">
        <v>45992</v>
      </c>
      <c r="E31" s="1" t="n">
        <v>46326</v>
      </c>
      <c r="F31" t="inlineStr">
        <is>
          <t>SKÅNE LÄN</t>
        </is>
      </c>
      <c r="G31" t="inlineStr">
        <is>
          <t>KLIPPAN</t>
        </is>
      </c>
      <c r="H31" t="inlineStr">
        <is>
          <t>Sveaskog</t>
        </is>
      </c>
      <c r="I31" t="n">
        <v>1.4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2</v>
      </c>
      <c r="T31" t="n">
        <v>4</v>
      </c>
      <c r="U31" t="n">
        <v>4</v>
      </c>
      <c r="V31" s="2" t="inlineStr">
        <is>
          <t>Entita
Kungsfågel</t>
        </is>
      </c>
      <c r="W31">
        <f>HYPERLINK("https://klasma.github.io/Logging_1276/artfynd/A 59769-2025 artfynd.xlsx", "A 59769-2025")</f>
        <v/>
      </c>
      <c r="X31">
        <f>HYPERLINK("https://klasma.github.io/Logging_1276/kartor/A 59769-2025 karta.png", "A 59769-2025")</f>
        <v/>
      </c>
      <c r="Y31">
        <f>HYPERLINK("https://klasma.github.io/Logging_1276/kartor_geotiff/A 59769-2025 georefererad karta.tif", "A 59769-2025")</f>
        <v/>
      </c>
      <c r="AA31">
        <f>HYPERLINK("https://klasma.github.io/Logging_1276/klagomål/A 59769-2025 FSC-klagomål.docx", "A 59769-2025")</f>
        <v/>
      </c>
      <c r="AB31">
        <f>HYPERLINK("https://klasma.github.io/Logging_1276/klagomålsmail/A 59769-2025 FSC-klagomål mail.docx", "A 59769-2025")</f>
        <v/>
      </c>
      <c r="AC31">
        <f>HYPERLINK("https://klasma.github.io/Logging_1276/tillsyn/A 59769-2025 tillsynsbegäran.docx", "A 59769-2025")</f>
        <v/>
      </c>
      <c r="AD31">
        <f>HYPERLINK("https://klasma.github.io/Logging_1276/tillsynsmail/A 59769-2025 tillsynsbegäran mail.docx", "A 59769-2025")</f>
        <v/>
      </c>
      <c r="AE31">
        <f>HYPERLINK("https://klasma.github.io/Logging_1276/fåglar/A 59769-2025 prioriterade fågelarter.docx", "A 59769-2025")</f>
        <v/>
      </c>
    </row>
    <row r="32" ht="15" customHeight="1">
      <c r="A32" t="inlineStr">
        <is>
          <t>A 20702-2023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45058</v>
      </c>
      <c r="E32" s="1" t="n">
        <v>46326</v>
      </c>
      <c r="F32" t="inlineStr">
        <is>
          <t>SKÅNE LÄN</t>
        </is>
      </c>
      <c r="G32" t="inlineStr">
        <is>
          <t>KLIPPAN</t>
        </is>
      </c>
      <c r="I32" t="n">
        <v>5.9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2</v>
      </c>
      <c r="U32" t="n">
        <v>0</v>
      </c>
      <c r="V32" s="2" t="inlineStr">
        <is>
          <t>Svinrot
Grönvit nattviol</t>
        </is>
      </c>
      <c r="W32">
        <f>HYPERLINK("https://klasma.github.io/Logging_1276/artfynd/A 20702-2023 artfynd.xlsx", "A 20702-2023")</f>
        <v/>
      </c>
      <c r="X32">
        <f>HYPERLINK("https://klasma.github.io/Logging_1276/kartor/A 20702-2023 karta.png", "A 20702-2023")</f>
        <v/>
      </c>
      <c r="Y32">
        <f>HYPERLINK("https://klasma.github.io/Logging_1276/kartor_geotiff/A 20702-2023 georefererad karta.tif", "A 20702-2023")</f>
        <v/>
      </c>
      <c r="AA32">
        <f>HYPERLINK("https://klasma.github.io/Logging_1276/klagomål/A 20702-2023 FSC-klagomål.docx", "A 20702-2023")</f>
        <v/>
      </c>
      <c r="AB32">
        <f>HYPERLINK("https://klasma.github.io/Logging_1276/klagomålsmail/A 20702-2023 FSC-klagomål mail.docx", "A 20702-2023")</f>
        <v/>
      </c>
      <c r="AC32">
        <f>HYPERLINK("https://klasma.github.io/Logging_1276/tillsyn/A 20702-2023 tillsynsbegäran.docx", "A 20702-2023")</f>
        <v/>
      </c>
      <c r="AD32">
        <f>HYPERLINK("https://klasma.github.io/Logging_1276/tillsynsmail/A 20702-2023 tillsynsbegäran mail.docx", "A 20702-2023")</f>
        <v/>
      </c>
    </row>
    <row r="33" ht="15" customHeight="1">
      <c r="A33" t="inlineStr">
        <is>
          <t>A 30240-2026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46206</v>
      </c>
      <c r="E33" s="1" t="n">
        <v>46326</v>
      </c>
      <c r="F33" t="inlineStr">
        <is>
          <t>SKÅNE LÄN</t>
        </is>
      </c>
      <c r="G33" t="inlineStr">
        <is>
          <t>KLIPPAN</t>
        </is>
      </c>
      <c r="H33" t="inlineStr">
        <is>
          <t>Övriga Aktiebolag</t>
        </is>
      </c>
      <c r="I33" t="n">
        <v>10.9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2</v>
      </c>
      <c r="U33" t="n">
        <v>2</v>
      </c>
      <c r="V33" s="2" t="inlineStr">
        <is>
          <t>Entita
Ängskovall</t>
        </is>
      </c>
      <c r="W33">
        <f>HYPERLINK("https://klasma.github.io/Logging_1276/artfynd/A 30240-2026 artfynd.xlsx", "A 30240-2026")</f>
        <v/>
      </c>
      <c r="X33">
        <f>HYPERLINK("https://klasma.github.io/Logging_1276/kartor/A 30240-2026 karta.png", "A 30240-2026")</f>
        <v/>
      </c>
      <c r="Y33">
        <f>HYPERLINK("https://klasma.github.io/Logging_1276/kartor_geotiff/A 30240-2026 georefererad karta.tif", "A 30240-2026")</f>
        <v/>
      </c>
      <c r="AA33">
        <f>HYPERLINK("https://klasma.github.io/Logging_1276/klagomål/A 30240-2026 FSC-klagomål.docx", "A 30240-2026")</f>
        <v/>
      </c>
      <c r="AB33">
        <f>HYPERLINK("https://klasma.github.io/Logging_1276/klagomålsmail/A 30240-2026 FSC-klagomål mail.docx", "A 30240-2026")</f>
        <v/>
      </c>
      <c r="AC33">
        <f>HYPERLINK("https://klasma.github.io/Logging_1276/tillsyn/A 30240-2026 tillsynsbegäran.docx", "A 30240-2026")</f>
        <v/>
      </c>
      <c r="AD33">
        <f>HYPERLINK("https://klasma.github.io/Logging_1276/tillsynsmail/A 30240-2026 tillsynsbegäran mail.docx", "A 30240-2026")</f>
        <v/>
      </c>
      <c r="AE33">
        <f>HYPERLINK("https://klasma.github.io/Logging_1276/fåglar/A 30240-2026 prioriterade fågelarter.docx", "A 30240-2026")</f>
        <v/>
      </c>
    </row>
    <row r="34" ht="15" customHeight="1">
      <c r="A34" t="inlineStr">
        <is>
          <t>A 29275-2026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46202</v>
      </c>
      <c r="E34" s="1" t="n">
        <v>46326</v>
      </c>
      <c r="F34" t="inlineStr">
        <is>
          <t>SKÅNE LÄN</t>
        </is>
      </c>
      <c r="G34" t="inlineStr">
        <is>
          <t>KLIPPAN</t>
        </is>
      </c>
      <c r="H34" t="inlineStr">
        <is>
          <t>Sveaskog</t>
        </is>
      </c>
      <c r="I34" t="n">
        <v>5.7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2</v>
      </c>
      <c r="T34" t="n">
        <v>2</v>
      </c>
      <c r="U34" t="n">
        <v>1</v>
      </c>
      <c r="V34" s="2" t="inlineStr">
        <is>
          <t>Mindre hackspett
Blemlavsklotter</t>
        </is>
      </c>
      <c r="W34">
        <f>HYPERLINK("https://klasma.github.io/Logging_1276/artfynd/A 29275-2026 artfynd.xlsx", "A 29275-2026")</f>
        <v/>
      </c>
      <c r="X34">
        <f>HYPERLINK("https://klasma.github.io/Logging_1276/kartor/A 29275-2026 karta.png", "A 29275-2026")</f>
        <v/>
      </c>
      <c r="Y34">
        <f>HYPERLINK("https://klasma.github.io/Logging_1276/kartor_geotiff/A 29275-2026 georefererad karta.tif", "A 29275-2026")</f>
        <v/>
      </c>
      <c r="AA34">
        <f>HYPERLINK("https://klasma.github.io/Logging_1276/klagomål/A 29275-2026 FSC-klagomål.docx", "A 29275-2026")</f>
        <v/>
      </c>
      <c r="AB34">
        <f>HYPERLINK("https://klasma.github.io/Logging_1276/klagomålsmail/A 29275-2026 FSC-klagomål mail.docx", "A 29275-2026")</f>
        <v/>
      </c>
      <c r="AC34">
        <f>HYPERLINK("https://klasma.github.io/Logging_1276/tillsyn/A 29275-2026 tillsynsbegäran.docx", "A 29275-2026")</f>
        <v/>
      </c>
      <c r="AD34">
        <f>HYPERLINK("https://klasma.github.io/Logging_1276/tillsynsmail/A 29275-2026 tillsynsbegäran mail.docx", "A 29275-2026")</f>
        <v/>
      </c>
      <c r="AE34">
        <f>HYPERLINK("https://klasma.github.io/Logging_1276/fåglar/A 29275-2026 prioriterade fågelarter.docx", "A 29275-2026")</f>
        <v/>
      </c>
    </row>
    <row r="35" ht="15" customHeight="1">
      <c r="A35" t="inlineStr">
        <is>
          <t>A 39440-2026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46288</v>
      </c>
      <c r="E35" s="1" t="n">
        <v>46326</v>
      </c>
      <c r="F35" t="inlineStr">
        <is>
          <t>SKÅNE LÄN</t>
        </is>
      </c>
      <c r="G35" t="inlineStr">
        <is>
          <t>KLIPPAN</t>
        </is>
      </c>
      <c r="I35" t="n">
        <v>0.7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2</v>
      </c>
      <c r="T35" t="n">
        <v>4</v>
      </c>
      <c r="U35" t="n">
        <v>4</v>
      </c>
      <c r="V35" s="2" t="inlineStr">
        <is>
          <t>Entita
Vanlig groda</t>
        </is>
      </c>
      <c r="W35">
        <f>HYPERLINK("https://klasma.github.io/Logging_1276/artfynd/A 39440-2026 artfynd.xlsx", "A 39440-2026")</f>
        <v/>
      </c>
      <c r="X35">
        <f>HYPERLINK("https://klasma.github.io/Logging_1276/kartor/A 39440-2026 karta.png", "A 39440-2026")</f>
        <v/>
      </c>
      <c r="Y35">
        <f>HYPERLINK("https://klasma.github.io/Logging_1276/kartor_geotiff/A 39440-2026 georefererad karta.tif", "A 39440-2026")</f>
        <v/>
      </c>
      <c r="AA35">
        <f>HYPERLINK("https://klasma.github.io/Logging_1276/klagomål/A 39440-2026 FSC-klagomål.docx", "A 39440-2026")</f>
        <v/>
      </c>
      <c r="AB35">
        <f>HYPERLINK("https://klasma.github.io/Logging_1276/klagomålsmail/A 39440-2026 FSC-klagomål mail.docx", "A 39440-2026")</f>
        <v/>
      </c>
      <c r="AC35">
        <f>HYPERLINK("https://klasma.github.io/Logging_1276/tillsyn/A 39440-2026 tillsynsbegäran.docx", "A 39440-2026")</f>
        <v/>
      </c>
      <c r="AD35">
        <f>HYPERLINK("https://klasma.github.io/Logging_1276/tillsynsmail/A 39440-2026 tillsynsbegäran mail.docx", "A 39440-2026")</f>
        <v/>
      </c>
      <c r="AE35">
        <f>HYPERLINK("https://klasma.github.io/Logging_1276/fåglar/A 39440-2026 prioriterade fågelarter.docx", "A 39440-2026")</f>
        <v/>
      </c>
    </row>
    <row r="36" ht="15" customHeight="1">
      <c r="A36" t="inlineStr">
        <is>
          <t>S 977-2023</t>
        </is>
      </c>
      <c r="B36" t="inlineStr">
        <is>
          <t>samrådsanmälan</t>
        </is>
      </c>
      <c r="C36" t="inlineStr">
        <is>
          <t>Askåterföring</t>
        </is>
      </c>
      <c r="D36" s="1" t="n">
        <v>45006</v>
      </c>
      <c r="E36" s="1" t="n">
        <v>46326</v>
      </c>
      <c r="F36" t="inlineStr">
        <is>
          <t>SKÅNE LÄN</t>
        </is>
      </c>
      <c r="G36" t="inlineStr">
        <is>
          <t>KLIPPAN</t>
        </is>
      </c>
      <c r="I36" t="n">
        <v>23.6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2</v>
      </c>
      <c r="T36" t="n">
        <v>4</v>
      </c>
      <c r="U36" t="n">
        <v>3</v>
      </c>
      <c r="V36" s="2" t="inlineStr">
        <is>
          <t>Sommarklynne
Silversmygare</t>
        </is>
      </c>
      <c r="W36">
        <f>HYPERLINK("https://klasma.github.io/Logging_1276/artfynd/S 977-2023 artfynd.xlsx", "S 977-2023")</f>
        <v/>
      </c>
      <c r="X36">
        <f>HYPERLINK("https://klasma.github.io/Logging_1276/kartor/S 977-2023 karta.png", "S 977-2023")</f>
        <v/>
      </c>
      <c r="Y36">
        <f>HYPERLINK("https://klasma.github.io/Logging_1276/kartor_geotiff/S 977-2023 georefererad karta.tif", "S 977-2023")</f>
        <v/>
      </c>
      <c r="AA36">
        <f>HYPERLINK("https://klasma.github.io/Logging_1276/klagomål/S 977-2023 FSC-klagomål.docx", "S 977-2023")</f>
        <v/>
      </c>
      <c r="AB36">
        <f>HYPERLINK("https://klasma.github.io/Logging_1276/klagomålsmail/S 977-2023 FSC-klagomål mail.docx", "S 977-2023")</f>
        <v/>
      </c>
      <c r="AC36">
        <f>HYPERLINK("https://klasma.github.io/Logging_1276/tillsyn/S 977-2023 tillsynsbegäran.docx", "S 977-2023")</f>
        <v/>
      </c>
      <c r="AD36">
        <f>HYPERLINK("https://klasma.github.io/Logging_1276/tillsynsmail/S 977-2023 tillsynsbegäran mail.docx", "S 977-2023")</f>
        <v/>
      </c>
    </row>
    <row r="37" ht="15" customHeight="1">
      <c r="A37" t="inlineStr">
        <is>
          <t>S 4007-2022</t>
        </is>
      </c>
      <c r="B37" t="inlineStr">
        <is>
          <t>samrådsanmälan</t>
        </is>
      </c>
      <c r="C37" t="inlineStr">
        <is>
          <t>Askåterföring</t>
        </is>
      </c>
      <c r="D37" s="1" t="n">
        <v>44754</v>
      </c>
      <c r="E37" s="1" t="n">
        <v>46326</v>
      </c>
      <c r="F37" t="inlineStr">
        <is>
          <t>SKÅNE LÄN</t>
        </is>
      </c>
      <c r="G37" t="inlineStr">
        <is>
          <t>KLIPPAN</t>
        </is>
      </c>
      <c r="I37" t="n">
        <v>20.8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2</v>
      </c>
      <c r="U37" t="n">
        <v>2</v>
      </c>
      <c r="V37" s="2" t="inlineStr">
        <is>
          <t>Mattlummer
Revlummer</t>
        </is>
      </c>
      <c r="W37">
        <f>HYPERLINK("https://klasma.github.io/Logging_1276/artfynd/S 4007-2022 artfynd.xlsx", "S 4007-2022")</f>
        <v/>
      </c>
      <c r="X37">
        <f>HYPERLINK("https://klasma.github.io/Logging_1276/kartor/S 4007-2022 karta.png", "S 4007-2022")</f>
        <v/>
      </c>
      <c r="Y37">
        <f>HYPERLINK("https://klasma.github.io/Logging_1276/kartor_geotiff/S 4007-2022 georefererad karta.tif", "S 4007-2022")</f>
        <v/>
      </c>
      <c r="AA37">
        <f>HYPERLINK("https://klasma.github.io/Logging_1276/klagomål/S 4007-2022 FSC-klagomål.docx", "S 4007-2022")</f>
        <v/>
      </c>
      <c r="AB37">
        <f>HYPERLINK("https://klasma.github.io/Logging_1276/klagomålsmail/S 4007-2022 FSC-klagomål mail.docx", "S 4007-2022")</f>
        <v/>
      </c>
      <c r="AC37">
        <f>HYPERLINK("https://klasma.github.io/Logging_1276/tillsyn/S 4007-2022 tillsynsbegäran.docx", "S 4007-2022")</f>
        <v/>
      </c>
      <c r="AD37">
        <f>HYPERLINK("https://klasma.github.io/Logging_1276/tillsynsmail/S 4007-2022 tillsynsbegäran mail.docx", "S 4007-2022")</f>
        <v/>
      </c>
    </row>
    <row r="38" ht="15" customHeight="1">
      <c r="A38" t="inlineStr">
        <is>
          <t>S 47-2026</t>
        </is>
      </c>
      <c r="B38" t="inlineStr">
        <is>
          <t>samrådsanmälan</t>
        </is>
      </c>
      <c r="C38" t="inlineStr">
        <is>
          <t>Askåterföring</t>
        </is>
      </c>
      <c r="D38" s="1" t="n">
        <v>46030</v>
      </c>
      <c r="E38" s="1" t="n">
        <v>46326</v>
      </c>
      <c r="F38" t="inlineStr">
        <is>
          <t>SKÅNE LÄN</t>
        </is>
      </c>
      <c r="G38" t="inlineStr">
        <is>
          <t>KLIPPAN</t>
        </is>
      </c>
      <c r="I38" t="n">
        <v>28.2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2</v>
      </c>
      <c r="U38" t="n">
        <v>0</v>
      </c>
      <c r="V38" s="2" t="inlineStr">
        <is>
          <t>Större vattensalamander
Vanlig padda</t>
        </is>
      </c>
      <c r="W38">
        <f>HYPERLINK("https://klasma.github.io/Logging_1276/artfynd/S 47-2026 artfynd.xlsx", "S 47-2026")</f>
        <v/>
      </c>
      <c r="X38">
        <f>HYPERLINK("https://klasma.github.io/Logging_1276/kartor/S 47-2026 karta.png", "S 47-2026")</f>
        <v/>
      </c>
      <c r="Y38">
        <f>HYPERLINK("https://klasma.github.io/Logging_1276/kartor_geotiff/S 47-2026 georefererad karta.tif", "S 47-2026")</f>
        <v/>
      </c>
      <c r="AA38">
        <f>HYPERLINK("https://klasma.github.io/Logging_1276/klagomål/S 47-2026 FSC-klagomål.docx", "S 47-2026")</f>
        <v/>
      </c>
      <c r="AB38">
        <f>HYPERLINK("https://klasma.github.io/Logging_1276/klagomålsmail/S 47-2026 FSC-klagomål mail.docx", "S 47-2026")</f>
        <v/>
      </c>
      <c r="AC38">
        <f>HYPERLINK("https://klasma.github.io/Logging_1276/tillsyn/S 47-2026 tillsynsbegäran.docx", "S 47-2026")</f>
        <v/>
      </c>
      <c r="AD38">
        <f>HYPERLINK("https://klasma.github.io/Logging_1276/tillsynsmail/S 47-2026 tillsynsbegäran mail.docx", "S 47-2026")</f>
        <v/>
      </c>
    </row>
    <row r="39" ht="15" customHeight="1">
      <c r="A39" t="inlineStr">
        <is>
          <t>A 14892-2023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45015</v>
      </c>
      <c r="E39" s="1" t="n">
        <v>46326</v>
      </c>
      <c r="F39" t="inlineStr">
        <is>
          <t>SKÅNE LÄN</t>
        </is>
      </c>
      <c r="G39" t="inlineStr">
        <is>
          <t>KLIPPAN</t>
        </is>
      </c>
      <c r="I39" t="n">
        <v>2.7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1</v>
      </c>
      <c r="V39" s="2" t="inlineStr">
        <is>
          <t>Mindre hackspett</t>
        </is>
      </c>
      <c r="W39">
        <f>HYPERLINK("https://klasma.github.io/Logging_1276/artfynd/A 14892-2023 artfynd.xlsx", "A 14892-2023")</f>
        <v/>
      </c>
      <c r="X39">
        <f>HYPERLINK("https://klasma.github.io/Logging_1276/kartor/A 14892-2023 karta.png", "A 14892-2023")</f>
        <v/>
      </c>
      <c r="Y39">
        <f>HYPERLINK("https://klasma.github.io/Logging_1276/kartor_geotiff/A 14892-2023 georefererad karta.tif", "A 14892-2023")</f>
        <v/>
      </c>
      <c r="AA39">
        <f>HYPERLINK("https://klasma.github.io/Logging_1276/klagomål/A 14892-2023 FSC-klagomål.docx", "A 14892-2023")</f>
        <v/>
      </c>
      <c r="AB39">
        <f>HYPERLINK("https://klasma.github.io/Logging_1276/klagomålsmail/A 14892-2023 FSC-klagomål mail.docx", "A 14892-2023")</f>
        <v/>
      </c>
      <c r="AC39">
        <f>HYPERLINK("https://klasma.github.io/Logging_1276/tillsyn/A 14892-2023 tillsynsbegäran.docx", "A 14892-2023")</f>
        <v/>
      </c>
      <c r="AD39">
        <f>HYPERLINK("https://klasma.github.io/Logging_1276/tillsynsmail/A 14892-2023 tillsynsbegäran mail.docx", "A 14892-2023")</f>
        <v/>
      </c>
      <c r="AE39">
        <f>HYPERLINK("https://klasma.github.io/Logging_1276/fåglar/A 14892-2023 prioriterade fågelarter.docx", "A 14892-2023")</f>
        <v/>
      </c>
    </row>
    <row r="40" ht="15" customHeight="1">
      <c r="A40" t="inlineStr">
        <is>
          <t>A 6446-2026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46055</v>
      </c>
      <c r="E40" s="1" t="n">
        <v>46326</v>
      </c>
      <c r="F40" t="inlineStr">
        <is>
          <t>SKÅNE LÄN</t>
        </is>
      </c>
      <c r="G40" t="inlineStr">
        <is>
          <t>KLIPPAN</t>
        </is>
      </c>
      <c r="I40" t="n">
        <v>0.5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s="2" t="inlineStr">
        <is>
          <t>Backsippa</t>
        </is>
      </c>
      <c r="W40">
        <f>HYPERLINK("https://klasma.github.io/Logging_1276/artfynd/A 6446-2026 artfynd.xlsx", "A 6446-2026")</f>
        <v/>
      </c>
      <c r="X40">
        <f>HYPERLINK("https://klasma.github.io/Logging_1276/kartor/A 6446-2026 karta.png", "A 6446-2026")</f>
        <v/>
      </c>
      <c r="Y40">
        <f>HYPERLINK("https://klasma.github.io/Logging_1276/kartor_geotiff/A 6446-2026 georefererad karta.tif", "A 6446-2026")</f>
        <v/>
      </c>
      <c r="AA40">
        <f>HYPERLINK("https://klasma.github.io/Logging_1276/klagomål/A 6446-2026 FSC-klagomål.docx", "A 6446-2026")</f>
        <v/>
      </c>
      <c r="AB40">
        <f>HYPERLINK("https://klasma.github.io/Logging_1276/klagomålsmail/A 6446-2026 FSC-klagomål mail.docx", "A 6446-2026")</f>
        <v/>
      </c>
      <c r="AC40">
        <f>HYPERLINK("https://klasma.github.io/Logging_1276/tillsyn/A 6446-2026 tillsynsbegäran.docx", "A 6446-2026")</f>
        <v/>
      </c>
      <c r="AD40">
        <f>HYPERLINK("https://klasma.github.io/Logging_1276/tillsynsmail/A 6446-2026 tillsynsbegäran mail.docx", "A 6446-2026")</f>
        <v/>
      </c>
    </row>
    <row r="41" ht="15" customHeight="1">
      <c r="A41" t="inlineStr">
        <is>
          <t>A 15810-2024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45404</v>
      </c>
      <c r="E41" s="1" t="n">
        <v>46326</v>
      </c>
      <c r="F41" t="inlineStr">
        <is>
          <t>SKÅNE LÄN</t>
        </is>
      </c>
      <c r="G41" t="inlineStr">
        <is>
          <t>KLIPPAN</t>
        </is>
      </c>
      <c r="H41" t="inlineStr">
        <is>
          <t>Sveaskog</t>
        </is>
      </c>
      <c r="I41" t="n">
        <v>3.7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s="2" t="inlineStr">
        <is>
          <t>Småvänderot</t>
        </is>
      </c>
      <c r="W41">
        <f>HYPERLINK("https://klasma.github.io/Logging_1276/artfynd/A 15810-2024 artfynd.xlsx", "A 15810-2024")</f>
        <v/>
      </c>
      <c r="X41">
        <f>HYPERLINK("https://klasma.github.io/Logging_1276/kartor/A 15810-2024 karta.png", "A 15810-2024")</f>
        <v/>
      </c>
      <c r="Y41">
        <f>HYPERLINK("https://klasma.github.io/Logging_1276/kartor_geotiff/A 15810-2024 georefererad karta.tif", "A 15810-2024")</f>
        <v/>
      </c>
      <c r="AA41">
        <f>HYPERLINK("https://klasma.github.io/Logging_1276/klagomål/A 15810-2024 FSC-klagomål.docx", "A 15810-2024")</f>
        <v/>
      </c>
      <c r="AB41">
        <f>HYPERLINK("https://klasma.github.io/Logging_1276/klagomålsmail/A 15810-2024 FSC-klagomål mail.docx", "A 15810-2024")</f>
        <v/>
      </c>
      <c r="AC41">
        <f>HYPERLINK("https://klasma.github.io/Logging_1276/tillsyn/A 15810-2024 tillsynsbegäran.docx", "A 15810-2024")</f>
        <v/>
      </c>
      <c r="AD41">
        <f>HYPERLINK("https://klasma.github.io/Logging_1276/tillsynsmail/A 15810-2024 tillsynsbegäran mail.docx", "A 15810-2024")</f>
        <v/>
      </c>
    </row>
    <row r="42" ht="15" customHeight="1">
      <c r="A42" t="inlineStr">
        <is>
          <t>A 61058-2025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46000</v>
      </c>
      <c r="E42" s="1" t="n">
        <v>46326</v>
      </c>
      <c r="F42" t="inlineStr">
        <is>
          <t>SKÅNE LÄN</t>
        </is>
      </c>
      <c r="G42" t="inlineStr">
        <is>
          <t>KLIPPAN</t>
        </is>
      </c>
      <c r="H42" t="inlineStr">
        <is>
          <t>Sveaskog</t>
        </is>
      </c>
      <c r="I42" t="n">
        <v>0.8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1</v>
      </c>
      <c r="V42" s="2" t="inlineStr">
        <is>
          <t>Kungsfågel</t>
        </is>
      </c>
      <c r="W42">
        <f>HYPERLINK("https://klasma.github.io/Logging_1276/artfynd/A 61058-2025 artfynd.xlsx", "A 61058-2025")</f>
        <v/>
      </c>
      <c r="X42">
        <f>HYPERLINK("https://klasma.github.io/Logging_1276/kartor/A 61058-2025 karta.png", "A 61058-2025")</f>
        <v/>
      </c>
      <c r="Y42">
        <f>HYPERLINK("https://klasma.github.io/Logging_1276/kartor_geotiff/A 61058-2025 georefererad karta.tif", "A 61058-2025")</f>
        <v/>
      </c>
      <c r="AA42">
        <f>HYPERLINK("https://klasma.github.io/Logging_1276/klagomål/A 61058-2025 FSC-klagomål.docx", "A 61058-2025")</f>
        <v/>
      </c>
      <c r="AB42">
        <f>HYPERLINK("https://klasma.github.io/Logging_1276/klagomålsmail/A 61058-2025 FSC-klagomål mail.docx", "A 61058-2025")</f>
        <v/>
      </c>
      <c r="AC42">
        <f>HYPERLINK("https://klasma.github.io/Logging_1276/tillsyn/A 61058-2025 tillsynsbegäran.docx", "A 61058-2025")</f>
        <v/>
      </c>
      <c r="AD42">
        <f>HYPERLINK("https://klasma.github.io/Logging_1276/tillsynsmail/A 61058-2025 tillsynsbegäran mail.docx", "A 61058-2025")</f>
        <v/>
      </c>
    </row>
    <row r="43" ht="15" customHeight="1">
      <c r="A43" t="inlineStr">
        <is>
          <t>A 44885-2022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44841</v>
      </c>
      <c r="E43" s="1" t="n">
        <v>46326</v>
      </c>
      <c r="F43" t="inlineStr">
        <is>
          <t>SKÅNE LÄN</t>
        </is>
      </c>
      <c r="G43" t="inlineStr">
        <is>
          <t>KLIPPAN</t>
        </is>
      </c>
      <c r="I43" t="n">
        <v>1.7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s="2" t="inlineStr">
        <is>
          <t>Blåmossa</t>
        </is>
      </c>
      <c r="W43">
        <f>HYPERLINK("https://klasma.github.io/Logging_1276/artfynd/A 44885-2022 artfynd.xlsx", "A 44885-2022")</f>
        <v/>
      </c>
      <c r="X43">
        <f>HYPERLINK("https://klasma.github.io/Logging_1276/kartor/A 44885-2022 karta.png", "A 44885-2022")</f>
        <v/>
      </c>
      <c r="Y43">
        <f>HYPERLINK("https://klasma.github.io/Logging_1276/kartor_geotiff/A 44885-2022 georefererad karta.tif", "A 44885-2022")</f>
        <v/>
      </c>
      <c r="AA43">
        <f>HYPERLINK("https://klasma.github.io/Logging_1276/klagomål/A 44885-2022 FSC-klagomål.docx", "A 44885-2022")</f>
        <v/>
      </c>
      <c r="AB43">
        <f>HYPERLINK("https://klasma.github.io/Logging_1276/klagomålsmail/A 44885-2022 FSC-klagomål mail.docx", "A 44885-2022")</f>
        <v/>
      </c>
      <c r="AC43">
        <f>HYPERLINK("https://klasma.github.io/Logging_1276/tillsyn/A 44885-2022 tillsynsbegäran.docx", "A 44885-2022")</f>
        <v/>
      </c>
      <c r="AD43">
        <f>HYPERLINK("https://klasma.github.io/Logging_1276/tillsynsmail/A 44885-2022 tillsynsbegäran mail.docx", "A 44885-2022")</f>
        <v/>
      </c>
    </row>
    <row r="44" ht="15" customHeight="1">
      <c r="A44" t="inlineStr">
        <is>
          <t>A 61049-2025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46000</v>
      </c>
      <c r="E44" s="1" t="n">
        <v>46326</v>
      </c>
      <c r="F44" t="inlineStr">
        <is>
          <t>SKÅNE LÄN</t>
        </is>
      </c>
      <c r="G44" t="inlineStr">
        <is>
          <t>KLIPPAN</t>
        </is>
      </c>
      <c r="H44" t="inlineStr">
        <is>
          <t>Sveaskog</t>
        </is>
      </c>
      <c r="I44" t="n">
        <v>3.6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s="2" t="inlineStr">
        <is>
          <t>Mindre hackspett</t>
        </is>
      </c>
      <c r="W44">
        <f>HYPERLINK("https://klasma.github.io/Logging_1276/artfynd/A 61049-2025 artfynd.xlsx", "A 61049-2025")</f>
        <v/>
      </c>
      <c r="X44">
        <f>HYPERLINK("https://klasma.github.io/Logging_1276/kartor/A 61049-2025 karta.png", "A 61049-2025")</f>
        <v/>
      </c>
      <c r="Y44">
        <f>HYPERLINK("https://klasma.github.io/Logging_1276/kartor_geotiff/A 61049-2025 georefererad karta.tif", "A 61049-2025")</f>
        <v/>
      </c>
      <c r="AA44">
        <f>HYPERLINK("https://klasma.github.io/Logging_1276/klagomål/A 61049-2025 FSC-klagomål.docx", "A 61049-2025")</f>
        <v/>
      </c>
      <c r="AB44">
        <f>HYPERLINK("https://klasma.github.io/Logging_1276/klagomålsmail/A 61049-2025 FSC-klagomål mail.docx", "A 61049-2025")</f>
        <v/>
      </c>
      <c r="AC44">
        <f>HYPERLINK("https://klasma.github.io/Logging_1276/tillsyn/A 61049-2025 tillsynsbegäran.docx", "A 61049-2025")</f>
        <v/>
      </c>
      <c r="AD44">
        <f>HYPERLINK("https://klasma.github.io/Logging_1276/tillsynsmail/A 61049-2025 tillsynsbegäran mail.docx", "A 61049-2025")</f>
        <v/>
      </c>
      <c r="AE44">
        <f>HYPERLINK("https://klasma.github.io/Logging_1276/fåglar/A 61049-2025 prioriterade fågelarter.docx", "A 61049-2025")</f>
        <v/>
      </c>
    </row>
    <row r="45" ht="15" customHeight="1">
      <c r="A45" t="inlineStr">
        <is>
          <t>A 21788-2026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46150</v>
      </c>
      <c r="E45" s="1" t="n">
        <v>46326</v>
      </c>
      <c r="F45" t="inlineStr">
        <is>
          <t>SKÅNE LÄN</t>
        </is>
      </c>
      <c r="G45" t="inlineStr">
        <is>
          <t>KLIPPAN</t>
        </is>
      </c>
      <c r="I45" t="n">
        <v>1.3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s="2" t="inlineStr">
        <is>
          <t>Bäckbräsma</t>
        </is>
      </c>
      <c r="W45">
        <f>HYPERLINK("https://klasma.github.io/Logging_1276/artfynd/A 21788-2026 artfynd.xlsx", "A 21788-2026")</f>
        <v/>
      </c>
      <c r="X45">
        <f>HYPERLINK("https://klasma.github.io/Logging_1276/kartor/A 21788-2026 karta.png", "A 21788-2026")</f>
        <v/>
      </c>
      <c r="Y45">
        <f>HYPERLINK("https://klasma.github.io/Logging_1276/kartor_geotiff/A 21788-2026 georefererad karta.tif", "A 21788-2026")</f>
        <v/>
      </c>
      <c r="AA45">
        <f>HYPERLINK("https://klasma.github.io/Logging_1276/klagomål/A 21788-2026 FSC-klagomål.docx", "A 21788-2026")</f>
        <v/>
      </c>
      <c r="AB45">
        <f>HYPERLINK("https://klasma.github.io/Logging_1276/klagomålsmail/A 21788-2026 FSC-klagomål mail.docx", "A 21788-2026")</f>
        <v/>
      </c>
      <c r="AC45">
        <f>HYPERLINK("https://klasma.github.io/Logging_1276/tillsyn/A 21788-2026 tillsynsbegäran.docx", "A 21788-2026")</f>
        <v/>
      </c>
      <c r="AD45">
        <f>HYPERLINK("https://klasma.github.io/Logging_1276/tillsynsmail/A 21788-2026 tillsynsbegäran mail.docx", "A 21788-2026")</f>
        <v/>
      </c>
    </row>
    <row r="46" ht="15" customHeight="1">
      <c r="A46" t="inlineStr">
        <is>
          <t>A 46147-2022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44846</v>
      </c>
      <c r="E46" s="1" t="n">
        <v>46326</v>
      </c>
      <c r="F46" t="inlineStr">
        <is>
          <t>SKÅNE LÄN</t>
        </is>
      </c>
      <c r="G46" t="inlineStr">
        <is>
          <t>KLIPPAN</t>
        </is>
      </c>
      <c r="I46" t="n">
        <v>5.7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s="2" t="inlineStr">
        <is>
          <t>Västlig hakmossa</t>
        </is>
      </c>
      <c r="W46">
        <f>HYPERLINK("https://klasma.github.io/Logging_1276/artfynd/A 46147-2022 artfynd.xlsx", "A 46147-2022")</f>
        <v/>
      </c>
      <c r="X46">
        <f>HYPERLINK("https://klasma.github.io/Logging_1276/kartor/A 46147-2022 karta.png", "A 46147-2022")</f>
        <v/>
      </c>
      <c r="Y46">
        <f>HYPERLINK("https://klasma.github.io/Logging_1276/kartor_geotiff/A 46147-2022 georefererad karta.tif", "A 46147-2022")</f>
        <v/>
      </c>
      <c r="AA46">
        <f>HYPERLINK("https://klasma.github.io/Logging_1276/klagomål/A 46147-2022 FSC-klagomål.docx", "A 46147-2022")</f>
        <v/>
      </c>
      <c r="AB46">
        <f>HYPERLINK("https://klasma.github.io/Logging_1276/klagomålsmail/A 46147-2022 FSC-klagomål mail.docx", "A 46147-2022")</f>
        <v/>
      </c>
      <c r="AC46">
        <f>HYPERLINK("https://klasma.github.io/Logging_1276/tillsyn/A 46147-2022 tillsynsbegäran.docx", "A 46147-2022")</f>
        <v/>
      </c>
      <c r="AD46">
        <f>HYPERLINK("https://klasma.github.io/Logging_1276/tillsynsmail/A 46147-2022 tillsynsbegäran mail.docx", "A 46147-2022")</f>
        <v/>
      </c>
    </row>
    <row r="47" ht="15" customHeight="1">
      <c r="A47" t="inlineStr">
        <is>
          <t>A 10000-2025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45719</v>
      </c>
      <c r="E47" s="1" t="n">
        <v>46326</v>
      </c>
      <c r="F47" t="inlineStr">
        <is>
          <t>SKÅNE LÄN</t>
        </is>
      </c>
      <c r="G47" t="inlineStr">
        <is>
          <t>KLIPPAN</t>
        </is>
      </c>
      <c r="I47" t="n">
        <v>2.6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s="2" t="inlineStr">
        <is>
          <t>Dvärghäxört</t>
        </is>
      </c>
      <c r="W47">
        <f>HYPERLINK("https://klasma.github.io/Logging_1276/artfynd/A 10000-2025 artfynd.xlsx", "A 10000-2025")</f>
        <v/>
      </c>
      <c r="X47">
        <f>HYPERLINK("https://klasma.github.io/Logging_1276/kartor/A 10000-2025 karta.png", "A 10000-2025")</f>
        <v/>
      </c>
      <c r="Y47">
        <f>HYPERLINK("https://klasma.github.io/Logging_1276/kartor_geotiff/A 10000-2025 georefererad karta.tif", "A 10000-2025")</f>
        <v/>
      </c>
      <c r="AA47">
        <f>HYPERLINK("https://klasma.github.io/Logging_1276/klagomål/A 10000-2025 FSC-klagomål.docx", "A 10000-2025")</f>
        <v/>
      </c>
      <c r="AB47">
        <f>HYPERLINK("https://klasma.github.io/Logging_1276/klagomålsmail/A 10000-2025 FSC-klagomål mail.docx", "A 10000-2025")</f>
        <v/>
      </c>
      <c r="AC47">
        <f>HYPERLINK("https://klasma.github.io/Logging_1276/tillsyn/A 10000-2025 tillsynsbegäran.docx", "A 10000-2025")</f>
        <v/>
      </c>
      <c r="AD47">
        <f>HYPERLINK("https://klasma.github.io/Logging_1276/tillsynsmail/A 10000-2025 tillsynsbegäran mail.docx", "A 10000-2025")</f>
        <v/>
      </c>
    </row>
    <row r="48" ht="15" customHeight="1">
      <c r="A48" t="inlineStr">
        <is>
          <t>A 31279-2026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46218</v>
      </c>
      <c r="E48" s="1" t="n">
        <v>46326</v>
      </c>
      <c r="F48" t="inlineStr">
        <is>
          <t>SKÅNE LÄN</t>
        </is>
      </c>
      <c r="G48" t="inlineStr">
        <is>
          <t>KLIPPAN</t>
        </is>
      </c>
      <c r="I48" t="n">
        <v>2.3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s="2" t="inlineStr">
        <is>
          <t>Dvärghäxört</t>
        </is>
      </c>
      <c r="W48">
        <f>HYPERLINK("https://klasma.github.io/Logging_1276/artfynd/A 31279-2026 artfynd.xlsx", "A 31279-2026")</f>
        <v/>
      </c>
      <c r="X48">
        <f>HYPERLINK("https://klasma.github.io/Logging_1276/kartor/A 31279-2026 karta.png", "A 31279-2026")</f>
        <v/>
      </c>
      <c r="Y48">
        <f>HYPERLINK("https://klasma.github.io/Logging_1276/kartor_geotiff/A 31279-2026 georefererad karta.tif", "A 31279-2026")</f>
        <v/>
      </c>
      <c r="AA48">
        <f>HYPERLINK("https://klasma.github.io/Logging_1276/klagomål/A 31279-2026 FSC-klagomål.docx", "A 31279-2026")</f>
        <v/>
      </c>
      <c r="AB48">
        <f>HYPERLINK("https://klasma.github.io/Logging_1276/klagomålsmail/A 31279-2026 FSC-klagomål mail.docx", "A 31279-2026")</f>
        <v/>
      </c>
      <c r="AC48">
        <f>HYPERLINK("https://klasma.github.io/Logging_1276/tillsyn/A 31279-2026 tillsynsbegäran.docx", "A 31279-2026")</f>
        <v/>
      </c>
      <c r="AD48">
        <f>HYPERLINK("https://klasma.github.io/Logging_1276/tillsynsmail/A 31279-2026 tillsynsbegäran mail.docx", "A 31279-2026")</f>
        <v/>
      </c>
    </row>
    <row r="49" ht="15" customHeight="1">
      <c r="A49" t="inlineStr">
        <is>
          <t>A 51276-2024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45603</v>
      </c>
      <c r="E49" s="1" t="n">
        <v>46326</v>
      </c>
      <c r="F49" t="inlineStr">
        <is>
          <t>SKÅNE LÄN</t>
        </is>
      </c>
      <c r="G49" t="inlineStr">
        <is>
          <t>KLIPPAN</t>
        </is>
      </c>
      <c r="I49" t="n">
        <v>2.4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1</v>
      </c>
      <c r="U49" t="n">
        <v>1</v>
      </c>
      <c r="V49" s="2" t="inlineStr">
        <is>
          <t>Rutskinn</t>
        </is>
      </c>
      <c r="W49">
        <f>HYPERLINK("https://klasma.github.io/Logging_1276/artfynd/A 51276-2024 artfynd.xlsx", "A 51276-2024")</f>
        <v/>
      </c>
      <c r="X49">
        <f>HYPERLINK("https://klasma.github.io/Logging_1276/kartor/A 51276-2024 karta.png", "A 51276-2024")</f>
        <v/>
      </c>
      <c r="Y49">
        <f>HYPERLINK("https://klasma.github.io/Logging_1276/kartor_geotiff/A 51276-2024 georefererad karta.tif", "A 51276-2024")</f>
        <v/>
      </c>
      <c r="AA49">
        <f>HYPERLINK("https://klasma.github.io/Logging_1276/klagomål/A 51276-2024 FSC-klagomål.docx", "A 51276-2024")</f>
        <v/>
      </c>
      <c r="AB49">
        <f>HYPERLINK("https://klasma.github.io/Logging_1276/klagomålsmail/A 51276-2024 FSC-klagomål mail.docx", "A 51276-2024")</f>
        <v/>
      </c>
      <c r="AC49">
        <f>HYPERLINK("https://klasma.github.io/Logging_1276/tillsyn/A 51276-2024 tillsynsbegäran.docx", "A 51276-2024")</f>
        <v/>
      </c>
      <c r="AD49">
        <f>HYPERLINK("https://klasma.github.io/Logging_1276/tillsynsmail/A 51276-2024 tillsynsbegäran mail.docx", "A 51276-2024")</f>
        <v/>
      </c>
    </row>
    <row r="50" ht="15" customHeight="1">
      <c r="A50" t="inlineStr">
        <is>
          <t>A 30520-2026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46210</v>
      </c>
      <c r="E50" s="1" t="n">
        <v>46326</v>
      </c>
      <c r="F50" t="inlineStr">
        <is>
          <t>SKÅNE LÄN</t>
        </is>
      </c>
      <c r="G50" t="inlineStr">
        <is>
          <t>KLIPPAN</t>
        </is>
      </c>
      <c r="H50" t="inlineStr">
        <is>
          <t>Övriga Aktiebolag</t>
        </is>
      </c>
      <c r="I50" t="n">
        <v>7.3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1</v>
      </c>
      <c r="U50" t="n">
        <v>1</v>
      </c>
      <c r="V50" s="2" t="inlineStr">
        <is>
          <t>Entita</t>
        </is>
      </c>
      <c r="W50">
        <f>HYPERLINK("https://klasma.github.io/Logging_1276/artfynd/A 30520-2026 artfynd.xlsx", "A 30520-2026")</f>
        <v/>
      </c>
      <c r="X50">
        <f>HYPERLINK("https://klasma.github.io/Logging_1276/kartor/A 30520-2026 karta.png", "A 30520-2026")</f>
        <v/>
      </c>
      <c r="Y50">
        <f>HYPERLINK("https://klasma.github.io/Logging_1276/kartor_geotiff/A 30520-2026 georefererad karta.tif", "A 30520-2026")</f>
        <v/>
      </c>
      <c r="AA50">
        <f>HYPERLINK("https://klasma.github.io/Logging_1276/klagomål/A 30520-2026 FSC-klagomål.docx", "A 30520-2026")</f>
        <v/>
      </c>
      <c r="AB50">
        <f>HYPERLINK("https://klasma.github.io/Logging_1276/klagomålsmail/A 30520-2026 FSC-klagomål mail.docx", "A 30520-2026")</f>
        <v/>
      </c>
      <c r="AC50">
        <f>HYPERLINK("https://klasma.github.io/Logging_1276/tillsyn/A 30520-2026 tillsynsbegäran.docx", "A 30520-2026")</f>
        <v/>
      </c>
      <c r="AD50">
        <f>HYPERLINK("https://klasma.github.io/Logging_1276/tillsynsmail/A 30520-2026 tillsynsbegäran mail.docx", "A 30520-2026")</f>
        <v/>
      </c>
      <c r="AE50">
        <f>HYPERLINK("https://klasma.github.io/Logging_1276/fåglar/A 30520-2026 prioriterade fågelarter.docx", "A 30520-2026")</f>
        <v/>
      </c>
    </row>
    <row r="51" ht="15" customHeight="1">
      <c r="A51" t="inlineStr">
        <is>
          <t>A 37224-2026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46274</v>
      </c>
      <c r="E51" s="1" t="n">
        <v>46326</v>
      </c>
      <c r="F51" t="inlineStr">
        <is>
          <t>SKÅNE LÄN</t>
        </is>
      </c>
      <c r="G51" t="inlineStr">
        <is>
          <t>KLIPPAN</t>
        </is>
      </c>
      <c r="I51" t="n">
        <v>2.7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2</v>
      </c>
      <c r="U51" t="n">
        <v>2</v>
      </c>
      <c r="V51" s="2" t="inlineStr">
        <is>
          <t>Vanlig groda</t>
        </is>
      </c>
      <c r="W51">
        <f>HYPERLINK("https://klasma.github.io/Logging_1276/artfynd/A 37224-2026 artfynd.xlsx", "A 37224-2026")</f>
        <v/>
      </c>
      <c r="X51">
        <f>HYPERLINK("https://klasma.github.io/Logging_1276/kartor/A 37224-2026 karta.png", "A 37224-2026")</f>
        <v/>
      </c>
      <c r="Y51">
        <f>HYPERLINK("https://klasma.github.io/Logging_1276/kartor_geotiff/A 37224-2026 georefererad karta.tif", "A 37224-2026")</f>
        <v/>
      </c>
      <c r="AA51">
        <f>HYPERLINK("https://klasma.github.io/Logging_1276/klagomål/A 37224-2026 FSC-klagomål.docx", "A 37224-2026")</f>
        <v/>
      </c>
      <c r="AB51">
        <f>HYPERLINK("https://klasma.github.io/Logging_1276/klagomålsmail/A 37224-2026 FSC-klagomål mail.docx", "A 37224-2026")</f>
        <v/>
      </c>
      <c r="AC51">
        <f>HYPERLINK("https://klasma.github.io/Logging_1276/tillsyn/A 37224-2026 tillsynsbegäran.docx", "A 37224-2026")</f>
        <v/>
      </c>
      <c r="AD51">
        <f>HYPERLINK("https://klasma.github.io/Logging_1276/tillsynsmail/A 37224-2026 tillsynsbegäran mail.docx", "A 37224-2026")</f>
        <v/>
      </c>
    </row>
    <row r="52" ht="15" customHeight="1">
      <c r="A52" t="inlineStr">
        <is>
          <t>S 841-2023</t>
        </is>
      </c>
      <c r="B52" t="inlineStr">
        <is>
          <t>samrådsanmälan</t>
        </is>
      </c>
      <c r="C52" t="inlineStr">
        <is>
          <t>Askåterföring</t>
        </is>
      </c>
      <c r="D52" s="1" t="n">
        <v>44992</v>
      </c>
      <c r="E52" s="1" t="n">
        <v>46326</v>
      </c>
      <c r="F52" t="inlineStr">
        <is>
          <t>SKÅNE LÄN</t>
        </is>
      </c>
      <c r="G52" t="inlineStr">
        <is>
          <t>KLIPPAN</t>
        </is>
      </c>
      <c r="I52" t="n">
        <v>23.9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s="2" t="inlineStr">
        <is>
          <t>Igelkott</t>
        </is>
      </c>
      <c r="W52">
        <f>HYPERLINK("https://klasma.github.io/Logging_1276/artfynd/S 841-2023 artfynd.xlsx", "S 841-2023")</f>
        <v/>
      </c>
      <c r="X52">
        <f>HYPERLINK("https://klasma.github.io/Logging_1276/kartor/S 841-2023 karta.png", "S 841-2023")</f>
        <v/>
      </c>
      <c r="Y52">
        <f>HYPERLINK("https://klasma.github.io/Logging_1276/kartor_geotiff/S 841-2023 georefererad karta.tif", "S 841-2023")</f>
        <v/>
      </c>
      <c r="AA52">
        <f>HYPERLINK("https://klasma.github.io/Logging_1276/klagomål/S 841-2023 FSC-klagomål.docx", "S 841-2023")</f>
        <v/>
      </c>
      <c r="AB52">
        <f>HYPERLINK("https://klasma.github.io/Logging_1276/klagomålsmail/S 841-2023 FSC-klagomål mail.docx", "S 841-2023")</f>
        <v/>
      </c>
      <c r="AC52">
        <f>HYPERLINK("https://klasma.github.io/Logging_1276/tillsyn/S 841-2023 tillsynsbegäran.docx", "S 841-2023")</f>
        <v/>
      </c>
      <c r="AD52">
        <f>HYPERLINK("https://klasma.github.io/Logging_1276/tillsynsmail/S 841-2023 tillsynsbegäran mail.docx", "S 841-2023")</f>
        <v/>
      </c>
    </row>
    <row r="53" ht="15" customHeight="1">
      <c r="A53" t="inlineStr">
        <is>
          <t>S 3667-2023</t>
        </is>
      </c>
      <c r="B53" t="inlineStr">
        <is>
          <t>samrådsanmälan</t>
        </is>
      </c>
      <c r="C53" t="inlineStr">
        <is>
          <t>Askåterföring</t>
        </is>
      </c>
      <c r="D53" s="1" t="n">
        <v>45217</v>
      </c>
      <c r="E53" s="1" t="n">
        <v>46326</v>
      </c>
      <c r="F53" t="inlineStr">
        <is>
          <t>SKÅNE LÄN</t>
        </is>
      </c>
      <c r="G53" t="inlineStr">
        <is>
          <t>KLIPPAN</t>
        </is>
      </c>
      <c r="I53" t="n">
        <v>186.4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s="2" t="inlineStr">
        <is>
          <t>Skogsalm</t>
        </is>
      </c>
      <c r="W53">
        <f>HYPERLINK("https://klasma.github.io/Logging_1276/artfynd/S 3667-2023 artfynd.xlsx", "S 3667-2023")</f>
        <v/>
      </c>
      <c r="X53">
        <f>HYPERLINK("https://klasma.github.io/Logging_1276/kartor/S 3667-2023 karta.png", "S 3667-2023")</f>
        <v/>
      </c>
      <c r="Y53">
        <f>HYPERLINK("https://klasma.github.io/Logging_1276/kartor_geotiff/S 3667-2023 georefererad karta.tif", "S 3667-2023")</f>
        <v/>
      </c>
      <c r="AA53">
        <f>HYPERLINK("https://klasma.github.io/Logging_1276/klagomål/S 3667-2023 FSC-klagomål.docx", "S 3667-2023")</f>
        <v/>
      </c>
      <c r="AB53">
        <f>HYPERLINK("https://klasma.github.io/Logging_1276/klagomålsmail/S 3667-2023 FSC-klagomål mail.docx", "S 3667-2023")</f>
        <v/>
      </c>
      <c r="AC53">
        <f>HYPERLINK("https://klasma.github.io/Logging_1276/tillsyn/S 3667-2023 tillsynsbegäran.docx", "S 3667-2023")</f>
        <v/>
      </c>
      <c r="AD53">
        <f>HYPERLINK("https://klasma.github.io/Logging_1276/tillsynsmail/S 3667-2023 tillsynsbegäran mail.docx", "S 3667-2023")</f>
        <v/>
      </c>
    </row>
    <row r="54" ht="15" customHeight="1">
      <c r="A54" t="inlineStr">
        <is>
          <t>S 5988-2022</t>
        </is>
      </c>
      <c r="B54" t="inlineStr">
        <is>
          <t>samrådsanmälan</t>
        </is>
      </c>
      <c r="C54" t="inlineStr">
        <is>
          <t>Askåterföring</t>
        </is>
      </c>
      <c r="D54" s="1" t="n">
        <v>44859</v>
      </c>
      <c r="E54" s="1" t="n">
        <v>46326</v>
      </c>
      <c r="F54" t="inlineStr">
        <is>
          <t>SKÅNE LÄN</t>
        </is>
      </c>
      <c r="G54" t="inlineStr">
        <is>
          <t>KLIPPAN</t>
        </is>
      </c>
      <c r="I54" t="n">
        <v>27.8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s="2" t="inlineStr">
        <is>
          <t>Vanlig snok</t>
        </is>
      </c>
      <c r="W54">
        <f>HYPERLINK("https://klasma.github.io/Logging_1276/artfynd/S 5988-2022 artfynd.xlsx", "S 5988-2022")</f>
        <v/>
      </c>
      <c r="X54">
        <f>HYPERLINK("https://klasma.github.io/Logging_1276/kartor/S 5988-2022 karta.png", "S 5988-2022")</f>
        <v/>
      </c>
      <c r="Y54">
        <f>HYPERLINK("https://klasma.github.io/Logging_1276/kartor_geotiff/S 5988-2022 georefererad karta.tif", "S 5988-2022")</f>
        <v/>
      </c>
      <c r="AA54">
        <f>HYPERLINK("https://klasma.github.io/Logging_1276/klagomål/S 5988-2022 FSC-klagomål.docx", "S 5988-2022")</f>
        <v/>
      </c>
      <c r="AB54">
        <f>HYPERLINK("https://klasma.github.io/Logging_1276/klagomålsmail/S 5988-2022 FSC-klagomål mail.docx", "S 5988-2022")</f>
        <v/>
      </c>
      <c r="AC54">
        <f>HYPERLINK("https://klasma.github.io/Logging_1276/tillsyn/S 5988-2022 tillsynsbegäran.docx", "S 5988-2022")</f>
        <v/>
      </c>
      <c r="AD54">
        <f>HYPERLINK("https://klasma.github.io/Logging_1276/tillsynsmail/S 5988-2022 tillsynsbegäran mail.docx", "S 5988-2022")</f>
        <v/>
      </c>
    </row>
    <row r="55" ht="15" customHeight="1">
      <c r="A55" t="inlineStr">
        <is>
          <t>S 2025-2022</t>
        </is>
      </c>
      <c r="B55" t="inlineStr">
        <is>
          <t>samrådsanmälan</t>
        </is>
      </c>
      <c r="C55" t="inlineStr">
        <is>
          <t>Askåterföring</t>
        </is>
      </c>
      <c r="D55" s="1" t="n">
        <v>44665</v>
      </c>
      <c r="E55" s="1" t="n">
        <v>46326</v>
      </c>
      <c r="F55" t="inlineStr">
        <is>
          <t>SKÅNE LÄN</t>
        </is>
      </c>
      <c r="G55" t="inlineStr">
        <is>
          <t>KLIPPAN</t>
        </is>
      </c>
      <c r="I55" t="n">
        <v>13.5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s="2" t="inlineStr">
        <is>
          <t>Tibast</t>
        </is>
      </c>
      <c r="W55">
        <f>HYPERLINK("https://klasma.github.io/Logging_1276/artfynd/S 2025-2022 artfynd.xlsx", "S 2025-2022")</f>
        <v/>
      </c>
      <c r="X55">
        <f>HYPERLINK("https://klasma.github.io/Logging_1276/kartor/S 2025-2022 karta.png", "S 2025-2022")</f>
        <v/>
      </c>
      <c r="Y55">
        <f>HYPERLINK("https://klasma.github.io/Logging_1276/kartor_geotiff/S 2025-2022 georefererad karta.tif", "S 2025-2022")</f>
        <v/>
      </c>
      <c r="AA55">
        <f>HYPERLINK("https://klasma.github.io/Logging_1276/klagomål/S 2025-2022 FSC-klagomål.docx", "S 2025-2022")</f>
        <v/>
      </c>
      <c r="AB55">
        <f>HYPERLINK("https://klasma.github.io/Logging_1276/klagomålsmail/S 2025-2022 FSC-klagomål mail.docx", "S 2025-2022")</f>
        <v/>
      </c>
      <c r="AC55">
        <f>HYPERLINK("https://klasma.github.io/Logging_1276/tillsyn/S 2025-2022 tillsynsbegäran.docx", "S 2025-2022")</f>
        <v/>
      </c>
      <c r="AD55">
        <f>HYPERLINK("https://klasma.github.io/Logging_1276/tillsynsmail/S 2025-2022 tillsynsbegäran mail.docx", "S 2025-2022")</f>
        <v/>
      </c>
    </row>
    <row r="56" ht="15" customHeight="1">
      <c r="A56" t="inlineStr">
        <is>
          <t>A 55629-2022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44883</v>
      </c>
      <c r="E56" s="1" t="n">
        <v>46326</v>
      </c>
      <c r="F56" t="inlineStr">
        <is>
          <t>SKÅNE LÄN</t>
        </is>
      </c>
      <c r="G56" t="inlineStr">
        <is>
          <t>KLIPPAN</t>
        </is>
      </c>
      <c r="H56" t="inlineStr">
        <is>
          <t>Övriga Aktiebolag</t>
        </is>
      </c>
      <c r="I56" t="n">
        <v>0.7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55637-2022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44883</v>
      </c>
      <c r="E57" s="1" t="n">
        <v>46326</v>
      </c>
      <c r="F57" t="inlineStr">
        <is>
          <t>SKÅNE LÄN</t>
        </is>
      </c>
      <c r="G57" t="inlineStr">
        <is>
          <t>KLIPPAN</t>
        </is>
      </c>
      <c r="H57" t="inlineStr">
        <is>
          <t>Övriga Aktiebolag</t>
        </is>
      </c>
      <c r="I57" t="n">
        <v>2.4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5791-2022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44596</v>
      </c>
      <c r="E58" s="1" t="n">
        <v>46326</v>
      </c>
      <c r="F58" t="inlineStr">
        <is>
          <t>SKÅNE LÄN</t>
        </is>
      </c>
      <c r="G58" t="inlineStr">
        <is>
          <t>KLIPPAN</t>
        </is>
      </c>
      <c r="H58" t="inlineStr">
        <is>
          <t>Övriga Aktiebolag</t>
        </is>
      </c>
      <c r="I58" t="n">
        <v>0.9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19097-2022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44691</v>
      </c>
      <c r="E59" s="1" t="n">
        <v>46326</v>
      </c>
      <c r="F59" t="inlineStr">
        <is>
          <t>SKÅNE LÄN</t>
        </is>
      </c>
      <c r="G59" t="inlineStr">
        <is>
          <t>KLIPPAN</t>
        </is>
      </c>
      <c r="I59" t="n">
        <v>0.6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20010-2022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44697</v>
      </c>
      <c r="E60" s="1" t="n">
        <v>46326</v>
      </c>
      <c r="F60" t="inlineStr">
        <is>
          <t>SKÅNE LÄN</t>
        </is>
      </c>
      <c r="G60" t="inlineStr">
        <is>
          <t>KLIPPAN</t>
        </is>
      </c>
      <c r="I60" t="n">
        <v>0.3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19999-2022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44697</v>
      </c>
      <c r="E61" s="1" t="n">
        <v>46326</v>
      </c>
      <c r="F61" t="inlineStr">
        <is>
          <t>SKÅNE LÄN</t>
        </is>
      </c>
      <c r="G61" t="inlineStr">
        <is>
          <t>KLIPPAN</t>
        </is>
      </c>
      <c r="I61" t="n">
        <v>1.3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69392-2021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44531</v>
      </c>
      <c r="E62" s="1" t="n">
        <v>46326</v>
      </c>
      <c r="F62" t="inlineStr">
        <is>
          <t>SKÅNE LÄN</t>
        </is>
      </c>
      <c r="G62" t="inlineStr">
        <is>
          <t>KLIPPAN</t>
        </is>
      </c>
      <c r="I62" t="n">
        <v>1.2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2045-2022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44575</v>
      </c>
      <c r="E63" s="1" t="n">
        <v>46326</v>
      </c>
      <c r="F63" t="inlineStr">
        <is>
          <t>SKÅNE LÄN</t>
        </is>
      </c>
      <c r="G63" t="inlineStr">
        <is>
          <t>KLIPPAN</t>
        </is>
      </c>
      <c r="H63" t="inlineStr">
        <is>
          <t>Sveaskog</t>
        </is>
      </c>
      <c r="I63" t="n">
        <v>0.5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10055-2022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44621</v>
      </c>
      <c r="E64" s="1" t="n">
        <v>46326</v>
      </c>
      <c r="F64" t="inlineStr">
        <is>
          <t>SKÅNE LÄN</t>
        </is>
      </c>
      <c r="G64" t="inlineStr">
        <is>
          <t>KLIPPAN</t>
        </is>
      </c>
      <c r="I64" t="n">
        <v>0.3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53582-2022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44875</v>
      </c>
      <c r="E65" s="1" t="n">
        <v>46326</v>
      </c>
      <c r="F65" t="inlineStr">
        <is>
          <t>SKÅNE LÄN</t>
        </is>
      </c>
      <c r="G65" t="inlineStr">
        <is>
          <t>KLIPPAN</t>
        </is>
      </c>
      <c r="H65" t="inlineStr">
        <is>
          <t>Övriga Aktiebolag</t>
        </is>
      </c>
      <c r="I65" t="n">
        <v>2.1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7839-2022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44608</v>
      </c>
      <c r="E66" s="1" t="n">
        <v>46326</v>
      </c>
      <c r="F66" t="inlineStr">
        <is>
          <t>SKÅNE LÄN</t>
        </is>
      </c>
      <c r="G66" t="inlineStr">
        <is>
          <t>KLIPPAN</t>
        </is>
      </c>
      <c r="H66" t="inlineStr">
        <is>
          <t>Övriga Aktiebolag</t>
        </is>
      </c>
      <c r="I66" t="n">
        <v>1.6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41272-2022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44825</v>
      </c>
      <c r="E67" s="1" t="n">
        <v>46326</v>
      </c>
      <c r="F67" t="inlineStr">
        <is>
          <t>SKÅNE LÄN</t>
        </is>
      </c>
      <c r="G67" t="inlineStr">
        <is>
          <t>KLIPPAN</t>
        </is>
      </c>
      <c r="H67" t="inlineStr">
        <is>
          <t>Övriga Aktiebolag</t>
        </is>
      </c>
      <c r="I67" t="n">
        <v>6.2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2046-2022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44575</v>
      </c>
      <c r="E68" s="1" t="n">
        <v>46326</v>
      </c>
      <c r="F68" t="inlineStr">
        <is>
          <t>SKÅNE LÄN</t>
        </is>
      </c>
      <c r="G68" t="inlineStr">
        <is>
          <t>KLIPPAN</t>
        </is>
      </c>
      <c r="H68" t="inlineStr">
        <is>
          <t>Sveaskog</t>
        </is>
      </c>
      <c r="I68" t="n">
        <v>0.4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32455-2022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44782</v>
      </c>
      <c r="E69" s="1" t="n">
        <v>46326</v>
      </c>
      <c r="F69" t="inlineStr">
        <is>
          <t>SKÅNE LÄN</t>
        </is>
      </c>
      <c r="G69" t="inlineStr">
        <is>
          <t>KLIPPAN</t>
        </is>
      </c>
      <c r="I69" t="n">
        <v>0.6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41268-2022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44825</v>
      </c>
      <c r="E70" s="1" t="n">
        <v>46326</v>
      </c>
      <c r="F70" t="inlineStr">
        <is>
          <t>SKÅNE LÄN</t>
        </is>
      </c>
      <c r="G70" t="inlineStr">
        <is>
          <t>KLIPPAN</t>
        </is>
      </c>
      <c r="H70" t="inlineStr">
        <is>
          <t>Övriga Aktiebolag</t>
        </is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54516-2022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44880</v>
      </c>
      <c r="E71" s="1" t="n">
        <v>46326</v>
      </c>
      <c r="F71" t="inlineStr">
        <is>
          <t>SKÅNE LÄN</t>
        </is>
      </c>
      <c r="G71" t="inlineStr">
        <is>
          <t>KLIPPAN</t>
        </is>
      </c>
      <c r="I71" t="n">
        <v>1.1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20690-2022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44700</v>
      </c>
      <c r="E72" s="1" t="n">
        <v>46326</v>
      </c>
      <c r="F72" t="inlineStr">
        <is>
          <t>SKÅNE LÄN</t>
        </is>
      </c>
      <c r="G72" t="inlineStr">
        <is>
          <t>KLIPPAN</t>
        </is>
      </c>
      <c r="H72" t="inlineStr">
        <is>
          <t>Kommuner</t>
        </is>
      </c>
      <c r="I72" t="n">
        <v>0.9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17425-2022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44679</v>
      </c>
      <c r="E73" s="1" t="n">
        <v>46326</v>
      </c>
      <c r="F73" t="inlineStr">
        <is>
          <t>SKÅNE LÄN</t>
        </is>
      </c>
      <c r="G73" t="inlineStr">
        <is>
          <t>KLIPPAN</t>
        </is>
      </c>
      <c r="I73" t="n">
        <v>5.1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39056-2022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44816</v>
      </c>
      <c r="E74" s="1" t="n">
        <v>46326</v>
      </c>
      <c r="F74" t="inlineStr">
        <is>
          <t>SKÅNE LÄN</t>
        </is>
      </c>
      <c r="G74" t="inlineStr">
        <is>
          <t>KLIPPAN</t>
        </is>
      </c>
      <c r="I74" t="n">
        <v>0.5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243-2025</t>
        </is>
      </c>
      <c r="B75" t="inlineStr">
        <is>
          <t>avverkningsanmälan</t>
        </is>
      </c>
      <c r="C75" t="inlineStr">
        <is>
          <t>Avverkning för annat ändamål</t>
        </is>
      </c>
      <c r="D75" s="1" t="n">
        <v>45660</v>
      </c>
      <c r="E75" s="1" t="n">
        <v>46326</v>
      </c>
      <c r="F75" t="inlineStr">
        <is>
          <t>SKÅNE LÄN</t>
        </is>
      </c>
      <c r="G75" t="inlineStr">
        <is>
          <t>KLIPPAN</t>
        </is>
      </c>
      <c r="I75" t="n">
        <v>1.1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53868-2022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44880</v>
      </c>
      <c r="E76" s="1" t="n">
        <v>46326</v>
      </c>
      <c r="F76" t="inlineStr">
        <is>
          <t>SKÅNE LÄN</t>
        </is>
      </c>
      <c r="G76" t="inlineStr">
        <is>
          <t>KLIPPAN</t>
        </is>
      </c>
      <c r="I76" t="n">
        <v>7.6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25393-2023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45079</v>
      </c>
      <c r="E77" s="1" t="n">
        <v>46326</v>
      </c>
      <c r="F77" t="inlineStr">
        <is>
          <t>SKÅNE LÄN</t>
        </is>
      </c>
      <c r="G77" t="inlineStr">
        <is>
          <t>KLIPPAN</t>
        </is>
      </c>
      <c r="I77" t="n">
        <v>2.8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34051-2024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45523</v>
      </c>
      <c r="E78" s="1" t="n">
        <v>46326</v>
      </c>
      <c r="F78" t="inlineStr">
        <is>
          <t>SKÅNE LÄN</t>
        </is>
      </c>
      <c r="G78" t="inlineStr">
        <is>
          <t>KLIPPAN</t>
        </is>
      </c>
      <c r="I78" t="n">
        <v>1.4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3198-2023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44944</v>
      </c>
      <c r="E79" s="1" t="n">
        <v>46326</v>
      </c>
      <c r="F79" t="inlineStr">
        <is>
          <t>SKÅNE LÄN</t>
        </is>
      </c>
      <c r="G79" t="inlineStr">
        <is>
          <t>KLIPPAN</t>
        </is>
      </c>
      <c r="I79" t="n">
        <v>2.1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37967-2024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45544</v>
      </c>
      <c r="E80" s="1" t="n">
        <v>46326</v>
      </c>
      <c r="F80" t="inlineStr">
        <is>
          <t>SKÅNE LÄN</t>
        </is>
      </c>
      <c r="G80" t="inlineStr">
        <is>
          <t>KLIPPAN</t>
        </is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28844-2023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45104</v>
      </c>
      <c r="E81" s="1" t="n">
        <v>46326</v>
      </c>
      <c r="F81" t="inlineStr">
        <is>
          <t>SKÅNE LÄN</t>
        </is>
      </c>
      <c r="G81" t="inlineStr">
        <is>
          <t>KLIPPAN</t>
        </is>
      </c>
      <c r="I81" t="n">
        <v>0.7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4623-2024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45328</v>
      </c>
      <c r="E82" s="1" t="n">
        <v>46326</v>
      </c>
      <c r="F82" t="inlineStr">
        <is>
          <t>SKÅNE LÄN</t>
        </is>
      </c>
      <c r="G82" t="inlineStr">
        <is>
          <t>KLIPPAN</t>
        </is>
      </c>
      <c r="I82" t="n">
        <v>3.2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217-2023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44928</v>
      </c>
      <c r="E83" s="1" t="n">
        <v>46326</v>
      </c>
      <c r="F83" t="inlineStr">
        <is>
          <t>SKÅNE LÄN</t>
        </is>
      </c>
      <c r="G83" t="inlineStr">
        <is>
          <t>KLIPPAN</t>
        </is>
      </c>
      <c r="I83" t="n">
        <v>3.6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38724-2023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45163</v>
      </c>
      <c r="E84" s="1" t="n">
        <v>46326</v>
      </c>
      <c r="F84" t="inlineStr">
        <is>
          <t>SKÅNE LÄN</t>
        </is>
      </c>
      <c r="G84" t="inlineStr">
        <is>
          <t>KLIPPAN</t>
        </is>
      </c>
      <c r="I84" t="n">
        <v>3.2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593-2023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44930</v>
      </c>
      <c r="E85" s="1" t="n">
        <v>46326</v>
      </c>
      <c r="F85" t="inlineStr">
        <is>
          <t>SKÅNE LÄN</t>
        </is>
      </c>
      <c r="G85" t="inlineStr">
        <is>
          <t>KLIPPAN</t>
        </is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33331-2024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45519</v>
      </c>
      <c r="E86" s="1" t="n">
        <v>46326</v>
      </c>
      <c r="F86" t="inlineStr">
        <is>
          <t>SKÅNE LÄN</t>
        </is>
      </c>
      <c r="G86" t="inlineStr">
        <is>
          <t>KLIPPAN</t>
        </is>
      </c>
      <c r="H86" t="inlineStr">
        <is>
          <t>Sveaskog</t>
        </is>
      </c>
      <c r="I86" t="n">
        <v>3.9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15070-2024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45399</v>
      </c>
      <c r="E87" s="1" t="n">
        <v>46326</v>
      </c>
      <c r="F87" t="inlineStr">
        <is>
          <t>SKÅNE LÄN</t>
        </is>
      </c>
      <c r="G87" t="inlineStr">
        <is>
          <t>KLIPPAN</t>
        </is>
      </c>
      <c r="H87" t="inlineStr">
        <is>
          <t>Övriga Aktiebolag</t>
        </is>
      </c>
      <c r="I87" t="n">
        <v>4.9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44228-2024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45573</v>
      </c>
      <c r="E88" s="1" t="n">
        <v>46326</v>
      </c>
      <c r="F88" t="inlineStr">
        <is>
          <t>SKÅNE LÄN</t>
        </is>
      </c>
      <c r="G88" t="inlineStr">
        <is>
          <t>KLIPPAN</t>
        </is>
      </c>
      <c r="I88" t="n">
        <v>1.4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49989-2024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45597</v>
      </c>
      <c r="E89" s="1" t="n">
        <v>46326</v>
      </c>
      <c r="F89" t="inlineStr">
        <is>
          <t>SKÅNE LÄN</t>
        </is>
      </c>
      <c r="G89" t="inlineStr">
        <is>
          <t>KLIPPAN</t>
        </is>
      </c>
      <c r="I89" t="n">
        <v>6.1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69394-2021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44531</v>
      </c>
      <c r="E90" s="1" t="n">
        <v>46326</v>
      </c>
      <c r="F90" t="inlineStr">
        <is>
          <t>SKÅNE LÄN</t>
        </is>
      </c>
      <c r="G90" t="inlineStr">
        <is>
          <t>KLIPPAN</t>
        </is>
      </c>
      <c r="H90" t="inlineStr">
        <is>
          <t>Övriga Aktiebolag</t>
        </is>
      </c>
      <c r="I90" t="n">
        <v>5.7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25069-2023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45086</v>
      </c>
      <c r="E91" s="1" t="n">
        <v>46326</v>
      </c>
      <c r="F91" t="inlineStr">
        <is>
          <t>SKÅNE LÄN</t>
        </is>
      </c>
      <c r="G91" t="inlineStr">
        <is>
          <t>KLIPPAN</t>
        </is>
      </c>
      <c r="I91" t="n">
        <v>2.2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5256-2022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44593</v>
      </c>
      <c r="E92" s="1" t="n">
        <v>46326</v>
      </c>
      <c r="F92" t="inlineStr">
        <is>
          <t>SKÅNE LÄN</t>
        </is>
      </c>
      <c r="G92" t="inlineStr">
        <is>
          <t>KLIPPAN</t>
        </is>
      </c>
      <c r="I92" t="n">
        <v>2.7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317-2026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46027</v>
      </c>
      <c r="E93" s="1" t="n">
        <v>46326</v>
      </c>
      <c r="F93" t="inlineStr">
        <is>
          <t>SKÅNE LÄN</t>
        </is>
      </c>
      <c r="G93" t="inlineStr">
        <is>
          <t>KLIPPAN</t>
        </is>
      </c>
      <c r="I93" t="n">
        <v>0.6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52851-2024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45610</v>
      </c>
      <c r="E94" s="1" t="n">
        <v>46326</v>
      </c>
      <c r="F94" t="inlineStr">
        <is>
          <t>SKÅNE LÄN</t>
        </is>
      </c>
      <c r="G94" t="inlineStr">
        <is>
          <t>KLIPPAN</t>
        </is>
      </c>
      <c r="I94" t="n">
        <v>2.4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27898-2025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45817</v>
      </c>
      <c r="E95" s="1" t="n">
        <v>46326</v>
      </c>
      <c r="F95" t="inlineStr">
        <is>
          <t>SKÅNE LÄN</t>
        </is>
      </c>
      <c r="G95" t="inlineStr">
        <is>
          <t>KLIPPAN</t>
        </is>
      </c>
      <c r="I95" t="n">
        <v>1.9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59482-2024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45638</v>
      </c>
      <c r="E96" s="1" t="n">
        <v>46326</v>
      </c>
      <c r="F96" t="inlineStr">
        <is>
          <t>SKÅNE LÄN</t>
        </is>
      </c>
      <c r="G96" t="inlineStr">
        <is>
          <t>KLIPPAN</t>
        </is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27010-2023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45094</v>
      </c>
      <c r="E97" s="1" t="n">
        <v>46326</v>
      </c>
      <c r="F97" t="inlineStr">
        <is>
          <t>SKÅNE LÄN</t>
        </is>
      </c>
      <c r="G97" t="inlineStr">
        <is>
          <t>KLIPPAN</t>
        </is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10544-2025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45721</v>
      </c>
      <c r="E98" s="1" t="n">
        <v>46326</v>
      </c>
      <c r="F98" t="inlineStr">
        <is>
          <t>SKÅNE LÄN</t>
        </is>
      </c>
      <c r="G98" t="inlineStr">
        <is>
          <t>KLIPPAN</t>
        </is>
      </c>
      <c r="I98" t="n">
        <v>2.2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18214-2023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45040</v>
      </c>
      <c r="E99" s="1" t="n">
        <v>46326</v>
      </c>
      <c r="F99" t="inlineStr">
        <is>
          <t>SKÅNE LÄN</t>
        </is>
      </c>
      <c r="G99" t="inlineStr">
        <is>
          <t>KLIPPAN</t>
        </is>
      </c>
      <c r="I99" t="n">
        <v>4.8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43855-2022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44838</v>
      </c>
      <c r="E100" s="1" t="n">
        <v>46326</v>
      </c>
      <c r="F100" t="inlineStr">
        <is>
          <t>SKÅNE LÄN</t>
        </is>
      </c>
      <c r="G100" t="inlineStr">
        <is>
          <t>KLIPPAN</t>
        </is>
      </c>
      <c r="H100" t="inlineStr">
        <is>
          <t>Sveaskog</t>
        </is>
      </c>
      <c r="I100" t="n">
        <v>1.3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60791-2023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45260</v>
      </c>
      <c r="E101" s="1" t="n">
        <v>46326</v>
      </c>
      <c r="F101" t="inlineStr">
        <is>
          <t>SKÅNE LÄN</t>
        </is>
      </c>
      <c r="G101" t="inlineStr">
        <is>
          <t>KLIPPAN</t>
        </is>
      </c>
      <c r="I101" t="n">
        <v>0.7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23681-2023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45077</v>
      </c>
      <c r="E102" s="1" t="n">
        <v>46326</v>
      </c>
      <c r="F102" t="inlineStr">
        <is>
          <t>SKÅNE LÄN</t>
        </is>
      </c>
      <c r="G102" t="inlineStr">
        <is>
          <t>KLIPPAN</t>
        </is>
      </c>
      <c r="I102" t="n">
        <v>0.9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4324-2024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45324</v>
      </c>
      <c r="E103" s="1" t="n">
        <v>46326</v>
      </c>
      <c r="F103" t="inlineStr">
        <is>
          <t>SKÅNE LÄN</t>
        </is>
      </c>
      <c r="G103" t="inlineStr">
        <is>
          <t>KLIPPAN</t>
        </is>
      </c>
      <c r="I103" t="n">
        <v>0.6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28490-2023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45103</v>
      </c>
      <c r="E104" s="1" t="n">
        <v>46326</v>
      </c>
      <c r="F104" t="inlineStr">
        <is>
          <t>SKÅNE LÄN</t>
        </is>
      </c>
      <c r="G104" t="inlineStr">
        <is>
          <t>KLIPPAN</t>
        </is>
      </c>
      <c r="I104" t="n">
        <v>0.5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29284-2025</t>
        </is>
      </c>
      <c r="B105" t="inlineStr">
        <is>
          <t>avverkningsanmälan</t>
        </is>
      </c>
      <c r="C105" t="inlineStr">
        <is>
          <t>Avverkning för annat ändamål</t>
        </is>
      </c>
      <c r="D105" s="1" t="n">
        <v>45824</v>
      </c>
      <c r="E105" s="1" t="n">
        <v>46326</v>
      </c>
      <c r="F105" t="inlineStr">
        <is>
          <t>SKÅNE LÄN</t>
        </is>
      </c>
      <c r="G105" t="inlineStr">
        <is>
          <t>KLIPPAN</t>
        </is>
      </c>
      <c r="I105" t="n">
        <v>0.4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44891-2022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44841</v>
      </c>
      <c r="E106" s="1" t="n">
        <v>46326</v>
      </c>
      <c r="F106" t="inlineStr">
        <is>
          <t>SKÅNE LÄN</t>
        </is>
      </c>
      <c r="G106" t="inlineStr">
        <is>
          <t>KLIPPAN</t>
        </is>
      </c>
      <c r="I106" t="n">
        <v>1.1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42627-2025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45905</v>
      </c>
      <c r="E107" s="1" t="n">
        <v>46326</v>
      </c>
      <c r="F107" t="inlineStr">
        <is>
          <t>SKÅNE LÄN</t>
        </is>
      </c>
      <c r="G107" t="inlineStr">
        <is>
          <t>KLIPPAN</t>
        </is>
      </c>
      <c r="I107" t="n">
        <v>1.8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17856-2024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45419</v>
      </c>
      <c r="E108" s="1" t="n">
        <v>46326</v>
      </c>
      <c r="F108" t="inlineStr">
        <is>
          <t>SKÅNE LÄN</t>
        </is>
      </c>
      <c r="G108" t="inlineStr">
        <is>
          <t>KLIPPAN</t>
        </is>
      </c>
      <c r="H108" t="inlineStr">
        <is>
          <t>Övriga Aktiebolag</t>
        </is>
      </c>
      <c r="I108" t="n">
        <v>3.5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32132-2025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45835</v>
      </c>
      <c r="E109" s="1" t="n">
        <v>46326</v>
      </c>
      <c r="F109" t="inlineStr">
        <is>
          <t>SKÅNE LÄN</t>
        </is>
      </c>
      <c r="G109" t="inlineStr">
        <is>
          <t>KLIPPAN</t>
        </is>
      </c>
      <c r="I109" t="n">
        <v>1.1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34479-2025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45847</v>
      </c>
      <c r="E110" s="1" t="n">
        <v>46326</v>
      </c>
      <c r="F110" t="inlineStr">
        <is>
          <t>SKÅNE LÄN</t>
        </is>
      </c>
      <c r="G110" t="inlineStr">
        <is>
          <t>KLIPPAN</t>
        </is>
      </c>
      <c r="I110" t="n">
        <v>1.6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13994-2025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45739</v>
      </c>
      <c r="E111" s="1" t="n">
        <v>46326</v>
      </c>
      <c r="F111" t="inlineStr">
        <is>
          <t>SKÅNE LÄN</t>
        </is>
      </c>
      <c r="G111" t="inlineStr">
        <is>
          <t>KLIPPAN</t>
        </is>
      </c>
      <c r="I111" t="n">
        <v>1.2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45096-2025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45919</v>
      </c>
      <c r="E112" s="1" t="n">
        <v>46326</v>
      </c>
      <c r="F112" t="inlineStr">
        <is>
          <t>SKÅNE LÄN</t>
        </is>
      </c>
      <c r="G112" t="inlineStr">
        <is>
          <t>KLIPPAN</t>
        </is>
      </c>
      <c r="I112" t="n">
        <v>2.8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39238-2022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44817</v>
      </c>
      <c r="E113" s="1" t="n">
        <v>46326</v>
      </c>
      <c r="F113" t="inlineStr">
        <is>
          <t>SKÅNE LÄN</t>
        </is>
      </c>
      <c r="G113" t="inlineStr">
        <is>
          <t>KLIPPAN</t>
        </is>
      </c>
      <c r="I113" t="n">
        <v>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11497-2023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44991</v>
      </c>
      <c r="E114" s="1" t="n">
        <v>46326</v>
      </c>
      <c r="F114" t="inlineStr">
        <is>
          <t>SKÅNE LÄN</t>
        </is>
      </c>
      <c r="G114" t="inlineStr">
        <is>
          <t>KLIPPAN</t>
        </is>
      </c>
      <c r="I114" t="n">
        <v>2.3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46260-2024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45581</v>
      </c>
      <c r="E115" s="1" t="n">
        <v>46326</v>
      </c>
      <c r="F115" t="inlineStr">
        <is>
          <t>SKÅNE LÄN</t>
        </is>
      </c>
      <c r="G115" t="inlineStr">
        <is>
          <t>KLIPPAN</t>
        </is>
      </c>
      <c r="H115" t="inlineStr">
        <is>
          <t>Sveaskog</t>
        </is>
      </c>
      <c r="I115" t="n">
        <v>1.4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4968-2026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46049</v>
      </c>
      <c r="E116" s="1" t="n">
        <v>46326</v>
      </c>
      <c r="F116" t="inlineStr">
        <is>
          <t>SKÅNE LÄN</t>
        </is>
      </c>
      <c r="G116" t="inlineStr">
        <is>
          <t>KLIPPAN</t>
        </is>
      </c>
      <c r="I116" t="n">
        <v>0.4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22120-2025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45785</v>
      </c>
      <c r="E117" s="1" t="n">
        <v>46326</v>
      </c>
      <c r="F117" t="inlineStr">
        <is>
          <t>SKÅNE LÄN</t>
        </is>
      </c>
      <c r="G117" t="inlineStr">
        <is>
          <t>KLIPPAN</t>
        </is>
      </c>
      <c r="I117" t="n">
        <v>2.7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39244-2022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44817</v>
      </c>
      <c r="E118" s="1" t="n">
        <v>46326</v>
      </c>
      <c r="F118" t="inlineStr">
        <is>
          <t>SKÅNE LÄN</t>
        </is>
      </c>
      <c r="G118" t="inlineStr">
        <is>
          <t>KLIPPAN</t>
        </is>
      </c>
      <c r="I118" t="n">
        <v>1.4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20717-2023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45055</v>
      </c>
      <c r="E119" s="1" t="n">
        <v>46326</v>
      </c>
      <c r="F119" t="inlineStr">
        <is>
          <t>SKÅNE LÄN</t>
        </is>
      </c>
      <c r="G119" t="inlineStr">
        <is>
          <t>KLIPPAN</t>
        </is>
      </c>
      <c r="I119" t="n">
        <v>1.5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37068-2023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45155</v>
      </c>
      <c r="E120" s="1" t="n">
        <v>46326</v>
      </c>
      <c r="F120" t="inlineStr">
        <is>
          <t>SKÅNE LÄN</t>
        </is>
      </c>
      <c r="G120" t="inlineStr">
        <is>
          <t>KLIPPAN</t>
        </is>
      </c>
      <c r="I120" t="n">
        <v>1.1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52286-2023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45224</v>
      </c>
      <c r="E121" s="1" t="n">
        <v>46326</v>
      </c>
      <c r="F121" t="inlineStr">
        <is>
          <t>SKÅNE LÄN</t>
        </is>
      </c>
      <c r="G121" t="inlineStr">
        <is>
          <t>KLIPPAN</t>
        </is>
      </c>
      <c r="I121" t="n">
        <v>0.6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46619-2024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45583</v>
      </c>
      <c r="E122" s="1" t="n">
        <v>46326</v>
      </c>
      <c r="F122" t="inlineStr">
        <is>
          <t>SKÅNE LÄN</t>
        </is>
      </c>
      <c r="G122" t="inlineStr">
        <is>
          <t>KLIPPAN</t>
        </is>
      </c>
      <c r="I122" t="n">
        <v>1.9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24333-2022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44726</v>
      </c>
      <c r="E123" s="1" t="n">
        <v>46326</v>
      </c>
      <c r="F123" t="inlineStr">
        <is>
          <t>SKÅNE LÄN</t>
        </is>
      </c>
      <c r="G123" t="inlineStr">
        <is>
          <t>KLIPPAN</t>
        </is>
      </c>
      <c r="I123" t="n">
        <v>1.1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24813-2025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45799</v>
      </c>
      <c r="E124" s="1" t="n">
        <v>46326</v>
      </c>
      <c r="F124" t="inlineStr">
        <is>
          <t>SKÅNE LÄN</t>
        </is>
      </c>
      <c r="G124" t="inlineStr">
        <is>
          <t>KLIPPAN</t>
        </is>
      </c>
      <c r="I124" t="n">
        <v>2.3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40092-2025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45894</v>
      </c>
      <c r="E125" s="1" t="n">
        <v>46326</v>
      </c>
      <c r="F125" t="inlineStr">
        <is>
          <t>SKÅNE LÄN</t>
        </is>
      </c>
      <c r="G125" t="inlineStr">
        <is>
          <t>KLIPPAN</t>
        </is>
      </c>
      <c r="I125" t="n">
        <v>0.7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51396-2025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45950</v>
      </c>
      <c r="E126" s="1" t="n">
        <v>46326</v>
      </c>
      <c r="F126" t="inlineStr">
        <is>
          <t>SKÅNE LÄN</t>
        </is>
      </c>
      <c r="G126" t="inlineStr">
        <is>
          <t>KLIPPAN</t>
        </is>
      </c>
      <c r="I126" t="n">
        <v>1.5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54348-2022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44882</v>
      </c>
      <c r="E127" s="1" t="n">
        <v>46326</v>
      </c>
      <c r="F127" t="inlineStr">
        <is>
          <t>SKÅNE LÄN</t>
        </is>
      </c>
      <c r="G127" t="inlineStr">
        <is>
          <t>KLIPPAN</t>
        </is>
      </c>
      <c r="I127" t="n">
        <v>7.8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38156-2022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44812</v>
      </c>
      <c r="E128" s="1" t="n">
        <v>46326</v>
      </c>
      <c r="F128" t="inlineStr">
        <is>
          <t>SKÅNE LÄN</t>
        </is>
      </c>
      <c r="G128" t="inlineStr">
        <is>
          <t>KLIPPAN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53289-2025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45958</v>
      </c>
      <c r="E129" s="1" t="n">
        <v>46326</v>
      </c>
      <c r="F129" t="inlineStr">
        <is>
          <t>SKÅNE LÄN</t>
        </is>
      </c>
      <c r="G129" t="inlineStr">
        <is>
          <t>KLIPPAN</t>
        </is>
      </c>
      <c r="I129" t="n">
        <v>1.3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53290-2025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45958</v>
      </c>
      <c r="E130" s="1" t="n">
        <v>46326</v>
      </c>
      <c r="F130" t="inlineStr">
        <is>
          <t>SKÅNE LÄN</t>
        </is>
      </c>
      <c r="G130" t="inlineStr">
        <is>
          <t>KLIPPAN</t>
        </is>
      </c>
      <c r="I130" t="n">
        <v>0.9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40710-2023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45170</v>
      </c>
      <c r="E131" s="1" t="n">
        <v>46326</v>
      </c>
      <c r="F131" t="inlineStr">
        <is>
          <t>SKÅNE LÄN</t>
        </is>
      </c>
      <c r="G131" t="inlineStr">
        <is>
          <t>KLIPPAN</t>
        </is>
      </c>
      <c r="I131" t="n">
        <v>2.5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9488-2026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46071</v>
      </c>
      <c r="E132" s="1" t="n">
        <v>46326</v>
      </c>
      <c r="F132" t="inlineStr">
        <is>
          <t>SKÅNE LÄN</t>
        </is>
      </c>
      <c r="G132" t="inlineStr">
        <is>
          <t>KLIPPAN</t>
        </is>
      </c>
      <c r="I132" t="n">
        <v>1.2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55833-2023</t>
        </is>
      </c>
      <c r="B133" t="inlineStr">
        <is>
          <t>avverkningsanmälan</t>
        </is>
      </c>
      <c r="C133" t="inlineStr">
        <is>
          <t>Avverkning för annat ändamål</t>
        </is>
      </c>
      <c r="D133" s="1" t="n">
        <v>45239</v>
      </c>
      <c r="E133" s="1" t="n">
        <v>46326</v>
      </c>
      <c r="F133" t="inlineStr">
        <is>
          <t>SKÅNE LÄN</t>
        </is>
      </c>
      <c r="G133" t="inlineStr">
        <is>
          <t>KLIPPAN</t>
        </is>
      </c>
      <c r="I133" t="n">
        <v>1.1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20128-2023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45055</v>
      </c>
      <c r="E134" s="1" t="n">
        <v>46326</v>
      </c>
      <c r="F134" t="inlineStr">
        <is>
          <t>SKÅNE LÄN</t>
        </is>
      </c>
      <c r="G134" t="inlineStr">
        <is>
          <t>KLIPPAN</t>
        </is>
      </c>
      <c r="I134" t="n">
        <v>2.9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2252-2025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45673</v>
      </c>
      <c r="E135" s="1" t="n">
        <v>46326</v>
      </c>
      <c r="F135" t="inlineStr">
        <is>
          <t>SKÅNE LÄN</t>
        </is>
      </c>
      <c r="G135" t="inlineStr">
        <is>
          <t>KLIPPAN</t>
        </is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55696-2025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45972</v>
      </c>
      <c r="E136" s="1" t="n">
        <v>46326</v>
      </c>
      <c r="F136" t="inlineStr">
        <is>
          <t>SKÅNE LÄN</t>
        </is>
      </c>
      <c r="G136" t="inlineStr">
        <is>
          <t>KLIPPAN</t>
        </is>
      </c>
      <c r="I136" t="n">
        <v>0.7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61682-2023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45264</v>
      </c>
      <c r="E137" s="1" t="n">
        <v>46326</v>
      </c>
      <c r="F137" t="inlineStr">
        <is>
          <t>SKÅNE LÄN</t>
        </is>
      </c>
      <c r="G137" t="inlineStr">
        <is>
          <t>KLIPPAN</t>
        </is>
      </c>
      <c r="I137" t="n">
        <v>0.8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11676-2023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44992</v>
      </c>
      <c r="E138" s="1" t="n">
        <v>46326</v>
      </c>
      <c r="F138" t="inlineStr">
        <is>
          <t>SKÅNE LÄN</t>
        </is>
      </c>
      <c r="G138" t="inlineStr">
        <is>
          <t>KLIPPAN</t>
        </is>
      </c>
      <c r="H138" t="inlineStr">
        <is>
          <t>Övriga Aktiebolag</t>
        </is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51844-2023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45223</v>
      </c>
      <c r="E139" s="1" t="n">
        <v>46326</v>
      </c>
      <c r="F139" t="inlineStr">
        <is>
          <t>SKÅNE LÄN</t>
        </is>
      </c>
      <c r="G139" t="inlineStr">
        <is>
          <t>KLIPPAN</t>
        </is>
      </c>
      <c r="I139" t="n">
        <v>0.6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33462-2025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45841</v>
      </c>
      <c r="E140" s="1" t="n">
        <v>46326</v>
      </c>
      <c r="F140" t="inlineStr">
        <is>
          <t>SKÅNE LÄN</t>
        </is>
      </c>
      <c r="G140" t="inlineStr">
        <is>
          <t>KLIPPAN</t>
        </is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28847-2023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45104</v>
      </c>
      <c r="E141" s="1" t="n">
        <v>46326</v>
      </c>
      <c r="F141" t="inlineStr">
        <is>
          <t>SKÅNE LÄN</t>
        </is>
      </c>
      <c r="G141" t="inlineStr">
        <is>
          <t>KLIPPAN</t>
        </is>
      </c>
      <c r="I141" t="n">
        <v>0.5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15442-2022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44659</v>
      </c>
      <c r="E142" s="1" t="n">
        <v>46326</v>
      </c>
      <c r="F142" t="inlineStr">
        <is>
          <t>SKÅNE LÄN</t>
        </is>
      </c>
      <c r="G142" t="inlineStr">
        <is>
          <t>KLIPPAN</t>
        </is>
      </c>
      <c r="I142" t="n">
        <v>3.8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2755-2023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44944</v>
      </c>
      <c r="E143" s="1" t="n">
        <v>46326</v>
      </c>
      <c r="F143" t="inlineStr">
        <is>
          <t>SKÅNE LÄN</t>
        </is>
      </c>
      <c r="G143" t="inlineStr">
        <is>
          <t>KLIPPAN</t>
        </is>
      </c>
      <c r="H143" t="inlineStr">
        <is>
          <t>Sveaskog</t>
        </is>
      </c>
      <c r="I143" t="n">
        <v>0.7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49370-2023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45211</v>
      </c>
      <c r="E144" s="1" t="n">
        <v>46326</v>
      </c>
      <c r="F144" t="inlineStr">
        <is>
          <t>SKÅNE LÄN</t>
        </is>
      </c>
      <c r="G144" t="inlineStr">
        <is>
          <t>KLIPPAN</t>
        </is>
      </c>
      <c r="I144" t="n">
        <v>0.8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46728-2023</t>
        </is>
      </c>
      <c r="B145" t="inlineStr">
        <is>
          <t>avverkningsanmälan</t>
        </is>
      </c>
      <c r="C145" t="inlineStr">
        <is>
          <t>Avverkning för annat ändamål</t>
        </is>
      </c>
      <c r="D145" s="1" t="n">
        <v>45198</v>
      </c>
      <c r="E145" s="1" t="n">
        <v>46326</v>
      </c>
      <c r="F145" t="inlineStr">
        <is>
          <t>SKÅNE LÄN</t>
        </is>
      </c>
      <c r="G145" t="inlineStr">
        <is>
          <t>KLIPPAN</t>
        </is>
      </c>
      <c r="I145" t="n">
        <v>1.8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42006-2025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45903</v>
      </c>
      <c r="E146" s="1" t="n">
        <v>46326</v>
      </c>
      <c r="F146" t="inlineStr">
        <is>
          <t>SKÅNE LÄN</t>
        </is>
      </c>
      <c r="G146" t="inlineStr">
        <is>
          <t>KLIPPAN</t>
        </is>
      </c>
      <c r="I146" t="n">
        <v>1.8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3498-2024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45320</v>
      </c>
      <c r="E147" s="1" t="n">
        <v>46326</v>
      </c>
      <c r="F147" t="inlineStr">
        <is>
          <t>SKÅNE LÄN</t>
        </is>
      </c>
      <c r="G147" t="inlineStr">
        <is>
          <t>KLIPPAN</t>
        </is>
      </c>
      <c r="I147" t="n">
        <v>0.9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41294-2022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44825</v>
      </c>
      <c r="E148" s="1" t="n">
        <v>46326</v>
      </c>
      <c r="F148" t="inlineStr">
        <is>
          <t>SKÅNE LÄN</t>
        </is>
      </c>
      <c r="G148" t="inlineStr">
        <is>
          <t>KLIPPAN</t>
        </is>
      </c>
      <c r="I148" t="n">
        <v>6.1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39097-2024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45548</v>
      </c>
      <c r="E149" s="1" t="n">
        <v>46326</v>
      </c>
      <c r="F149" t="inlineStr">
        <is>
          <t>SKÅNE LÄN</t>
        </is>
      </c>
      <c r="G149" t="inlineStr">
        <is>
          <t>KLIPPAN</t>
        </is>
      </c>
      <c r="I149" t="n">
        <v>4.2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8712-2023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44978</v>
      </c>
      <c r="E150" s="1" t="n">
        <v>46326</v>
      </c>
      <c r="F150" t="inlineStr">
        <is>
          <t>SKÅNE LÄN</t>
        </is>
      </c>
      <c r="G150" t="inlineStr">
        <is>
          <t>KLIPPAN</t>
        </is>
      </c>
      <c r="I150" t="n">
        <v>0.7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49073-2024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45594</v>
      </c>
      <c r="E151" s="1" t="n">
        <v>46326</v>
      </c>
      <c r="F151" t="inlineStr">
        <is>
          <t>SKÅNE LÄN</t>
        </is>
      </c>
      <c r="G151" t="inlineStr">
        <is>
          <t>KLIPPAN</t>
        </is>
      </c>
      <c r="I151" t="n">
        <v>1.5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7661-2025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45706</v>
      </c>
      <c r="E152" s="1" t="n">
        <v>46326</v>
      </c>
      <c r="F152" t="inlineStr">
        <is>
          <t>SKÅNE LÄN</t>
        </is>
      </c>
      <c r="G152" t="inlineStr">
        <is>
          <t>KLIPPAN</t>
        </is>
      </c>
      <c r="I152" t="n">
        <v>0.7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3183-2023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44944</v>
      </c>
      <c r="E153" s="1" t="n">
        <v>46326</v>
      </c>
      <c r="F153" t="inlineStr">
        <is>
          <t>SKÅNE LÄN</t>
        </is>
      </c>
      <c r="G153" t="inlineStr">
        <is>
          <t>KLIPPAN</t>
        </is>
      </c>
      <c r="I153" t="n">
        <v>6.9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48965-2023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45209</v>
      </c>
      <c r="E154" s="1" t="n">
        <v>46326</v>
      </c>
      <c r="F154" t="inlineStr">
        <is>
          <t>SKÅNE LÄN</t>
        </is>
      </c>
      <c r="G154" t="inlineStr">
        <is>
          <t>KLIPPAN</t>
        </is>
      </c>
      <c r="I154" t="n">
        <v>1.9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9270-2022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44616</v>
      </c>
      <c r="E155" s="1" t="n">
        <v>46326</v>
      </c>
      <c r="F155" t="inlineStr">
        <is>
          <t>SKÅNE LÄN</t>
        </is>
      </c>
      <c r="G155" t="inlineStr">
        <is>
          <t>KLIPPAN</t>
        </is>
      </c>
      <c r="I155" t="n">
        <v>1.7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36842-2024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45538</v>
      </c>
      <c r="E156" s="1" t="n">
        <v>46326</v>
      </c>
      <c r="F156" t="inlineStr">
        <is>
          <t>SKÅNE LÄN</t>
        </is>
      </c>
      <c r="G156" t="inlineStr">
        <is>
          <t>KLIPPAN</t>
        </is>
      </c>
      <c r="H156" t="inlineStr">
        <is>
          <t>Sveaskog</t>
        </is>
      </c>
      <c r="I156" t="n">
        <v>3.8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50781-2025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45946</v>
      </c>
      <c r="E157" s="1" t="n">
        <v>46326</v>
      </c>
      <c r="F157" t="inlineStr">
        <is>
          <t>SKÅNE LÄN</t>
        </is>
      </c>
      <c r="G157" t="inlineStr">
        <is>
          <t>KLIPPAN</t>
        </is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4321-2024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45324</v>
      </c>
      <c r="E158" s="1" t="n">
        <v>46326</v>
      </c>
      <c r="F158" t="inlineStr">
        <is>
          <t>SKÅNE LÄN</t>
        </is>
      </c>
      <c r="G158" t="inlineStr">
        <is>
          <t>KLIPPAN</t>
        </is>
      </c>
      <c r="I158" t="n">
        <v>0.7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8500-2023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44977</v>
      </c>
      <c r="E159" s="1" t="n">
        <v>46326</v>
      </c>
      <c r="F159" t="inlineStr">
        <is>
          <t>SKÅNE LÄN</t>
        </is>
      </c>
      <c r="G159" t="inlineStr">
        <is>
          <t>KLIPPAN</t>
        </is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55291-2023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45237</v>
      </c>
      <c r="E160" s="1" t="n">
        <v>46326</v>
      </c>
      <c r="F160" t="inlineStr">
        <is>
          <t>SKÅNE LÄN</t>
        </is>
      </c>
      <c r="G160" t="inlineStr">
        <is>
          <t>KLIPPAN</t>
        </is>
      </c>
      <c r="I160" t="n">
        <v>2.1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69041-2021</t>
        </is>
      </c>
      <c r="B161" t="inlineStr">
        <is>
          <t>avverkningsanmälan</t>
        </is>
      </c>
      <c r="C161" t="inlineStr">
        <is>
          <t>Avverkning för annat ändamål</t>
        </is>
      </c>
      <c r="D161" s="1" t="n">
        <v>44529</v>
      </c>
      <c r="E161" s="1" t="n">
        <v>46326</v>
      </c>
      <c r="F161" t="inlineStr">
        <is>
          <t>SKÅNE LÄN</t>
        </is>
      </c>
      <c r="G161" t="inlineStr">
        <is>
          <t>KLIPPAN</t>
        </is>
      </c>
      <c r="I161" t="n">
        <v>0.8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23260-2023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45075</v>
      </c>
      <c r="E162" s="1" t="n">
        <v>46326</v>
      </c>
      <c r="F162" t="inlineStr">
        <is>
          <t>SKÅNE LÄN</t>
        </is>
      </c>
      <c r="G162" t="inlineStr">
        <is>
          <t>KLIPPAN</t>
        </is>
      </c>
      <c r="I162" t="n">
        <v>3.4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10695-2023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44988</v>
      </c>
      <c r="E163" s="1" t="n">
        <v>46326</v>
      </c>
      <c r="F163" t="inlineStr">
        <is>
          <t>SKÅNE LÄN</t>
        </is>
      </c>
      <c r="G163" t="inlineStr">
        <is>
          <t>KLIPPAN</t>
        </is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14614-2023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45013</v>
      </c>
      <c r="E164" s="1" t="n">
        <v>46326</v>
      </c>
      <c r="F164" t="inlineStr">
        <is>
          <t>SKÅNE LÄN</t>
        </is>
      </c>
      <c r="G164" t="inlineStr">
        <is>
          <t>KLIPPAN</t>
        </is>
      </c>
      <c r="I164" t="n">
        <v>5.1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61060-2025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46000</v>
      </c>
      <c r="E165" s="1" t="n">
        <v>46326</v>
      </c>
      <c r="F165" t="inlineStr">
        <is>
          <t>SKÅNE LÄN</t>
        </is>
      </c>
      <c r="G165" t="inlineStr">
        <is>
          <t>KLIPPAN</t>
        </is>
      </c>
      <c r="H165" t="inlineStr">
        <is>
          <t>Sveaskog</t>
        </is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20088-2026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46136</v>
      </c>
      <c r="E166" s="1" t="n">
        <v>46326</v>
      </c>
      <c r="F166" t="inlineStr">
        <is>
          <t>SKÅNE LÄN</t>
        </is>
      </c>
      <c r="G166" t="inlineStr">
        <is>
          <t>KLIPPAN</t>
        </is>
      </c>
      <c r="H166" t="inlineStr">
        <is>
          <t>Sveaskog</t>
        </is>
      </c>
      <c r="I166" t="n">
        <v>6.6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8017-2022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44609</v>
      </c>
      <c r="E167" s="1" t="n">
        <v>46326</v>
      </c>
      <c r="F167" t="inlineStr">
        <is>
          <t>SKÅNE LÄN</t>
        </is>
      </c>
      <c r="G167" t="inlineStr">
        <is>
          <t>KLIPPAN</t>
        </is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20627-2026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46141</v>
      </c>
      <c r="E168" s="1" t="n">
        <v>46326</v>
      </c>
      <c r="F168" t="inlineStr">
        <is>
          <t>SKÅNE LÄN</t>
        </is>
      </c>
      <c r="G168" t="inlineStr">
        <is>
          <t>KLIPPAN</t>
        </is>
      </c>
      <c r="I168" t="n">
        <v>0.8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20629-2026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46141</v>
      </c>
      <c r="E169" s="1" t="n">
        <v>46326</v>
      </c>
      <c r="F169" t="inlineStr">
        <is>
          <t>SKÅNE LÄN</t>
        </is>
      </c>
      <c r="G169" t="inlineStr">
        <is>
          <t>KLIPPAN</t>
        </is>
      </c>
      <c r="I169" t="n">
        <v>0.7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13995-2025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45739</v>
      </c>
      <c r="E170" s="1" t="n">
        <v>46326</v>
      </c>
      <c r="F170" t="inlineStr">
        <is>
          <t>SKÅNE LÄN</t>
        </is>
      </c>
      <c r="G170" t="inlineStr">
        <is>
          <t>KLIPPAN</t>
        </is>
      </c>
      <c r="I170" t="n">
        <v>1.9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42275-2024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45562</v>
      </c>
      <c r="E171" s="1" t="n">
        <v>46326</v>
      </c>
      <c r="F171" t="inlineStr">
        <is>
          <t>SKÅNE LÄN</t>
        </is>
      </c>
      <c r="G171" t="inlineStr">
        <is>
          <t>KLIPPAN</t>
        </is>
      </c>
      <c r="H171" t="inlineStr">
        <is>
          <t>Sveaskog</t>
        </is>
      </c>
      <c r="I171" t="n">
        <v>0.6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24034-2023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45078</v>
      </c>
      <c r="E172" s="1" t="n">
        <v>46326</v>
      </c>
      <c r="F172" t="inlineStr">
        <is>
          <t>SKÅNE LÄN</t>
        </is>
      </c>
      <c r="G172" t="inlineStr">
        <is>
          <t>KLIPPAN</t>
        </is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5196-2022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44593</v>
      </c>
      <c r="E173" s="1" t="n">
        <v>46326</v>
      </c>
      <c r="F173" t="inlineStr">
        <is>
          <t>SKÅNE LÄN</t>
        </is>
      </c>
      <c r="G173" t="inlineStr">
        <is>
          <t>KLIPPAN</t>
        </is>
      </c>
      <c r="I173" t="n">
        <v>5.6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21602-2026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46149</v>
      </c>
      <c r="E174" s="1" t="n">
        <v>46326</v>
      </c>
      <c r="F174" t="inlineStr">
        <is>
          <t>SKÅNE LÄN</t>
        </is>
      </c>
      <c r="G174" t="inlineStr">
        <is>
          <t>KLIPPAN</t>
        </is>
      </c>
      <c r="I174" t="n">
        <v>0.6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21609-2026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46149</v>
      </c>
      <c r="E175" s="1" t="n">
        <v>46326</v>
      </c>
      <c r="F175" t="inlineStr">
        <is>
          <t>SKÅNE LÄN</t>
        </is>
      </c>
      <c r="G175" t="inlineStr">
        <is>
          <t>KLIPPAN</t>
        </is>
      </c>
      <c r="I175" t="n">
        <v>0.5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21599-2026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46149</v>
      </c>
      <c r="E176" s="1" t="n">
        <v>46326</v>
      </c>
      <c r="F176" t="inlineStr">
        <is>
          <t>SKÅNE LÄN</t>
        </is>
      </c>
      <c r="G176" t="inlineStr">
        <is>
          <t>KLIPPAN</t>
        </is>
      </c>
      <c r="I176" t="n">
        <v>1.8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21607-2026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46149</v>
      </c>
      <c r="E177" s="1" t="n">
        <v>46326</v>
      </c>
      <c r="F177" t="inlineStr">
        <is>
          <t>SKÅNE LÄN</t>
        </is>
      </c>
      <c r="G177" t="inlineStr">
        <is>
          <t>KLIPPAN</t>
        </is>
      </c>
      <c r="I177" t="n">
        <v>3.4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45641-2022</t>
        </is>
      </c>
      <c r="B178" t="inlineStr">
        <is>
          <t>avverkningsanmälan</t>
        </is>
      </c>
      <c r="C178" t="inlineStr">
        <is>
          <t>Avverkning för annat ändamål</t>
        </is>
      </c>
      <c r="D178" s="1" t="n">
        <v>44845</v>
      </c>
      <c r="E178" s="1" t="n">
        <v>46326</v>
      </c>
      <c r="F178" t="inlineStr">
        <is>
          <t>SKÅNE LÄN</t>
        </is>
      </c>
      <c r="G178" t="inlineStr">
        <is>
          <t>KLIPPAN</t>
        </is>
      </c>
      <c r="I178" t="n">
        <v>1.1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21636-2024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45442</v>
      </c>
      <c r="E179" s="1" t="n">
        <v>46326</v>
      </c>
      <c r="F179" t="inlineStr">
        <is>
          <t>SKÅNE LÄN</t>
        </is>
      </c>
      <c r="G179" t="inlineStr">
        <is>
          <t>KLIPPAN</t>
        </is>
      </c>
      <c r="I179" t="n">
        <v>6.3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21778-2026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46150</v>
      </c>
      <c r="E180" s="1" t="n">
        <v>46326</v>
      </c>
      <c r="F180" t="inlineStr">
        <is>
          <t>SKÅNE LÄN</t>
        </is>
      </c>
      <c r="G180" t="inlineStr">
        <is>
          <t>KLIPPAN</t>
        </is>
      </c>
      <c r="I180" t="n">
        <v>0.7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63499-2025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46013</v>
      </c>
      <c r="E181" s="1" t="n">
        <v>46326</v>
      </c>
      <c r="F181" t="inlineStr">
        <is>
          <t>SKÅNE LÄN</t>
        </is>
      </c>
      <c r="G181" t="inlineStr">
        <is>
          <t>KLIPPAN</t>
        </is>
      </c>
      <c r="I181" t="n">
        <v>3.9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60783-2023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45260</v>
      </c>
      <c r="E182" s="1" t="n">
        <v>46326</v>
      </c>
      <c r="F182" t="inlineStr">
        <is>
          <t>SKÅNE LÄN</t>
        </is>
      </c>
      <c r="G182" t="inlineStr">
        <is>
          <t>KLIPPAN</t>
        </is>
      </c>
      <c r="I182" t="n">
        <v>1.4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14619-2023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45013</v>
      </c>
      <c r="E183" s="1" t="n">
        <v>46326</v>
      </c>
      <c r="F183" t="inlineStr">
        <is>
          <t>SKÅNE LÄN</t>
        </is>
      </c>
      <c r="G183" t="inlineStr">
        <is>
          <t>KLIPPAN</t>
        </is>
      </c>
      <c r="I183" t="n">
        <v>0.6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27454-2024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45474</v>
      </c>
      <c r="E184" s="1" t="n">
        <v>46326</v>
      </c>
      <c r="F184" t="inlineStr">
        <is>
          <t>SKÅNE LÄN</t>
        </is>
      </c>
      <c r="G184" t="inlineStr">
        <is>
          <t>KLIPPAN</t>
        </is>
      </c>
      <c r="I184" t="n">
        <v>0.7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11335-2023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44993</v>
      </c>
      <c r="E185" s="1" t="n">
        <v>46326</v>
      </c>
      <c r="F185" t="inlineStr">
        <is>
          <t>SKÅNE LÄN</t>
        </is>
      </c>
      <c r="G185" t="inlineStr">
        <is>
          <t>KLIPPAN</t>
        </is>
      </c>
      <c r="I185" t="n">
        <v>1.3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13363-2023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45005</v>
      </c>
      <c r="E186" s="1" t="n">
        <v>46326</v>
      </c>
      <c r="F186" t="inlineStr">
        <is>
          <t>SKÅNE LÄN</t>
        </is>
      </c>
      <c r="G186" t="inlineStr">
        <is>
          <t>KLIPPAN</t>
        </is>
      </c>
      <c r="H186" t="inlineStr">
        <is>
          <t>Övriga Aktiebolag</t>
        </is>
      </c>
      <c r="I186" t="n">
        <v>0.6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5151-2022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44593</v>
      </c>
      <c r="E187" s="1" t="n">
        <v>46326</v>
      </c>
      <c r="F187" t="inlineStr">
        <is>
          <t>SKÅNE LÄN</t>
        </is>
      </c>
      <c r="G187" t="inlineStr">
        <is>
          <t>KLIPPAN</t>
        </is>
      </c>
      <c r="I187" t="n">
        <v>6.5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23741-2023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45077</v>
      </c>
      <c r="E188" s="1" t="n">
        <v>46326</v>
      </c>
      <c r="F188" t="inlineStr">
        <is>
          <t>SKÅNE LÄN</t>
        </is>
      </c>
      <c r="G188" t="inlineStr">
        <is>
          <t>KLIPPAN</t>
        </is>
      </c>
      <c r="I188" t="n">
        <v>0.7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47870-2022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44855</v>
      </c>
      <c r="E189" s="1" t="n">
        <v>46326</v>
      </c>
      <c r="F189" t="inlineStr">
        <is>
          <t>SKÅNE LÄN</t>
        </is>
      </c>
      <c r="G189" t="inlineStr">
        <is>
          <t>KLIPPAN</t>
        </is>
      </c>
      <c r="I189" t="n">
        <v>0.5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27813-2023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45098</v>
      </c>
      <c r="E190" s="1" t="n">
        <v>46326</v>
      </c>
      <c r="F190" t="inlineStr">
        <is>
          <t>SKÅNE LÄN</t>
        </is>
      </c>
      <c r="G190" t="inlineStr">
        <is>
          <t>KLIPPAN</t>
        </is>
      </c>
      <c r="I190" t="n">
        <v>1.3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58387-2022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44901</v>
      </c>
      <c r="E191" s="1" t="n">
        <v>46326</v>
      </c>
      <c r="F191" t="inlineStr">
        <is>
          <t>SKÅNE LÄN</t>
        </is>
      </c>
      <c r="G191" t="inlineStr">
        <is>
          <t>KLIPPAN</t>
        </is>
      </c>
      <c r="H191" t="inlineStr">
        <is>
          <t>Kommuner</t>
        </is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27452-2024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45474</v>
      </c>
      <c r="E192" s="1" t="n">
        <v>46326</v>
      </c>
      <c r="F192" t="inlineStr">
        <is>
          <t>SKÅNE LÄN</t>
        </is>
      </c>
      <c r="G192" t="inlineStr">
        <is>
          <t>KLIPPAN</t>
        </is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45596-2024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45579</v>
      </c>
      <c r="E193" s="1" t="n">
        <v>46326</v>
      </c>
      <c r="F193" t="inlineStr">
        <is>
          <t>SKÅNE LÄN</t>
        </is>
      </c>
      <c r="G193" t="inlineStr">
        <is>
          <t>KLIPPAN</t>
        </is>
      </c>
      <c r="I193" t="n">
        <v>0.9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38323-2023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45161</v>
      </c>
      <c r="E194" s="1" t="n">
        <v>46326</v>
      </c>
      <c r="F194" t="inlineStr">
        <is>
          <t>SKÅNE LÄN</t>
        </is>
      </c>
      <c r="G194" t="inlineStr">
        <is>
          <t>KLIPPAN</t>
        </is>
      </c>
      <c r="I194" t="n">
        <v>3.7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38325-2023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45161</v>
      </c>
      <c r="E195" s="1" t="n">
        <v>46326</v>
      </c>
      <c r="F195" t="inlineStr">
        <is>
          <t>SKÅNE LÄN</t>
        </is>
      </c>
      <c r="G195" t="inlineStr">
        <is>
          <t>KLIPPAN</t>
        </is>
      </c>
      <c r="I195" t="n">
        <v>4.1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21654-2024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45442</v>
      </c>
      <c r="E196" s="1" t="n">
        <v>46326</v>
      </c>
      <c r="F196" t="inlineStr">
        <is>
          <t>SKÅNE LÄN</t>
        </is>
      </c>
      <c r="G196" t="inlineStr">
        <is>
          <t>KLIPPAN</t>
        </is>
      </c>
      <c r="I196" t="n">
        <v>7.2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25423-2026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46177</v>
      </c>
      <c r="E197" s="1" t="n">
        <v>46326</v>
      </c>
      <c r="F197" t="inlineStr">
        <is>
          <t>SKÅNE LÄN</t>
        </is>
      </c>
      <c r="G197" t="inlineStr">
        <is>
          <t>KLIPPAN</t>
        </is>
      </c>
      <c r="I197" t="n">
        <v>3.6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25424-2026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46177</v>
      </c>
      <c r="E198" s="1" t="n">
        <v>46326</v>
      </c>
      <c r="F198" t="inlineStr">
        <is>
          <t>SKÅNE LÄN</t>
        </is>
      </c>
      <c r="G198" t="inlineStr">
        <is>
          <t>KLIPPAN</t>
        </is>
      </c>
      <c r="I198" t="n">
        <v>0.5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25721-2026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46178</v>
      </c>
      <c r="E199" s="1" t="n">
        <v>46326</v>
      </c>
      <c r="F199" t="inlineStr">
        <is>
          <t>SKÅNE LÄN</t>
        </is>
      </c>
      <c r="G199" t="inlineStr">
        <is>
          <t>KLIPPAN</t>
        </is>
      </c>
      <c r="I199" t="n">
        <v>1.6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1280-2023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44936</v>
      </c>
      <c r="E200" s="1" t="n">
        <v>46326</v>
      </c>
      <c r="F200" t="inlineStr">
        <is>
          <t>SKÅNE LÄN</t>
        </is>
      </c>
      <c r="G200" t="inlineStr">
        <is>
          <t>KLIPPAN</t>
        </is>
      </c>
      <c r="I200" t="n">
        <v>0.9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6447-2026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46055</v>
      </c>
      <c r="E201" s="1" t="n">
        <v>46326</v>
      </c>
      <c r="F201" t="inlineStr">
        <is>
          <t>SKÅNE LÄN</t>
        </is>
      </c>
      <c r="G201" t="inlineStr">
        <is>
          <t>KLIPPAN</t>
        </is>
      </c>
      <c r="I201" t="n">
        <v>3.6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20591-2023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45055</v>
      </c>
      <c r="E202" s="1" t="n">
        <v>46326</v>
      </c>
      <c r="F202" t="inlineStr">
        <is>
          <t>SKÅNE LÄN</t>
        </is>
      </c>
      <c r="G202" t="inlineStr">
        <is>
          <t>KLIPPAN</t>
        </is>
      </c>
      <c r="I202" t="n">
        <v>1.8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52877-2022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44875</v>
      </c>
      <c r="E203" s="1" t="n">
        <v>46326</v>
      </c>
      <c r="F203" t="inlineStr">
        <is>
          <t>SKÅNE LÄN</t>
        </is>
      </c>
      <c r="G203" t="inlineStr">
        <is>
          <t>KLIPPAN</t>
        </is>
      </c>
      <c r="I203" t="n">
        <v>0.7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11705-2023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44992</v>
      </c>
      <c r="E204" s="1" t="n">
        <v>46326</v>
      </c>
      <c r="F204" t="inlineStr">
        <is>
          <t>SKÅNE LÄN</t>
        </is>
      </c>
      <c r="G204" t="inlineStr">
        <is>
          <t>KLIPPAN</t>
        </is>
      </c>
      <c r="I204" t="n">
        <v>1.4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64224-2023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45279</v>
      </c>
      <c r="E205" s="1" t="n">
        <v>46326</v>
      </c>
      <c r="F205" t="inlineStr">
        <is>
          <t>SKÅNE LÄN</t>
        </is>
      </c>
      <c r="G205" t="inlineStr">
        <is>
          <t>KLIPPAN</t>
        </is>
      </c>
      <c r="I205" t="n">
        <v>0.9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20002-2022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44697</v>
      </c>
      <c r="E206" s="1" t="n">
        <v>46326</v>
      </c>
      <c r="F206" t="inlineStr">
        <is>
          <t>SKÅNE LÄN</t>
        </is>
      </c>
      <c r="G206" t="inlineStr">
        <is>
          <t>KLIPPAN</t>
        </is>
      </c>
      <c r="I206" t="n">
        <v>0.9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47856-2024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45588</v>
      </c>
      <c r="E207" s="1" t="n">
        <v>46326</v>
      </c>
      <c r="F207" t="inlineStr">
        <is>
          <t>SKÅNE LÄN</t>
        </is>
      </c>
      <c r="G207" t="inlineStr">
        <is>
          <t>KLIPPAN</t>
        </is>
      </c>
      <c r="I207" t="n">
        <v>0.5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49686-2023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45212</v>
      </c>
      <c r="E208" s="1" t="n">
        <v>46326</v>
      </c>
      <c r="F208" t="inlineStr">
        <is>
          <t>SKÅNE LÄN</t>
        </is>
      </c>
      <c r="G208" t="inlineStr">
        <is>
          <t>KLIPPAN</t>
        </is>
      </c>
      <c r="I208" t="n">
        <v>1.3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68856-2021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44530</v>
      </c>
      <c r="E209" s="1" t="n">
        <v>46326</v>
      </c>
      <c r="F209" t="inlineStr">
        <is>
          <t>SKÅNE LÄN</t>
        </is>
      </c>
      <c r="G209" t="inlineStr">
        <is>
          <t>KLIPPAN</t>
        </is>
      </c>
      <c r="I209" t="n">
        <v>0.9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46835-2023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45199</v>
      </c>
      <c r="E210" s="1" t="n">
        <v>46326</v>
      </c>
      <c r="F210" t="inlineStr">
        <is>
          <t>SKÅNE LÄN</t>
        </is>
      </c>
      <c r="G210" t="inlineStr">
        <is>
          <t>KLIPPAN</t>
        </is>
      </c>
      <c r="I210" t="n">
        <v>0.5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5557-2022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44593</v>
      </c>
      <c r="E211" s="1" t="n">
        <v>46326</v>
      </c>
      <c r="F211" t="inlineStr">
        <is>
          <t>SKÅNE LÄN</t>
        </is>
      </c>
      <c r="G211" t="inlineStr">
        <is>
          <t>KLIPPAN</t>
        </is>
      </c>
      <c r="I211" t="n">
        <v>2.4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46253-2024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45581</v>
      </c>
      <c r="E212" s="1" t="n">
        <v>46326</v>
      </c>
      <c r="F212" t="inlineStr">
        <is>
          <t>SKÅNE LÄN</t>
        </is>
      </c>
      <c r="G212" t="inlineStr">
        <is>
          <t>KLIPPAN</t>
        </is>
      </c>
      <c r="H212" t="inlineStr">
        <is>
          <t>Sveaskog</t>
        </is>
      </c>
      <c r="I212" t="n">
        <v>9.300000000000001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39530-2023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45167</v>
      </c>
      <c r="E213" s="1" t="n">
        <v>46326</v>
      </c>
      <c r="F213" t="inlineStr">
        <is>
          <t>SKÅNE LÄN</t>
        </is>
      </c>
      <c r="G213" t="inlineStr">
        <is>
          <t>KLIPPAN</t>
        </is>
      </c>
      <c r="I213" t="n">
        <v>2.9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29338-2026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46202</v>
      </c>
      <c r="E214" s="1" t="n">
        <v>46326</v>
      </c>
      <c r="F214" t="inlineStr">
        <is>
          <t>SKÅNE LÄN</t>
        </is>
      </c>
      <c r="G214" t="inlineStr">
        <is>
          <t>KLIPPAN</t>
        </is>
      </c>
      <c r="I214" t="n">
        <v>0.9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22976-2023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45072</v>
      </c>
      <c r="E215" s="1" t="n">
        <v>46326</v>
      </c>
      <c r="F215" t="inlineStr">
        <is>
          <t>SKÅNE LÄN</t>
        </is>
      </c>
      <c r="G215" t="inlineStr">
        <is>
          <t>KLIPPAN</t>
        </is>
      </c>
      <c r="I215" t="n">
        <v>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23978-2022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44722</v>
      </c>
      <c r="E216" s="1" t="n">
        <v>46326</v>
      </c>
      <c r="F216" t="inlineStr">
        <is>
          <t>SKÅNE LÄN</t>
        </is>
      </c>
      <c r="G216" t="inlineStr">
        <is>
          <t>KLIPPAN</t>
        </is>
      </c>
      <c r="I216" t="n">
        <v>9.699999999999999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15812-2024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45404</v>
      </c>
      <c r="E217" s="1" t="n">
        <v>46326</v>
      </c>
      <c r="F217" t="inlineStr">
        <is>
          <t>SKÅNE LÄN</t>
        </is>
      </c>
      <c r="G217" t="inlineStr">
        <is>
          <t>KLIPPAN</t>
        </is>
      </c>
      <c r="H217" t="inlineStr">
        <is>
          <t>Sveaskog</t>
        </is>
      </c>
      <c r="I217" t="n">
        <v>2.8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38945-2023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45163</v>
      </c>
      <c r="E218" s="1" t="n">
        <v>46326</v>
      </c>
      <c r="F218" t="inlineStr">
        <is>
          <t>SKÅNE LÄN</t>
        </is>
      </c>
      <c r="G218" t="inlineStr">
        <is>
          <t>KLIPPAN</t>
        </is>
      </c>
      <c r="I218" t="n">
        <v>0.9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23874-2022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44722</v>
      </c>
      <c r="E219" s="1" t="n">
        <v>46326</v>
      </c>
      <c r="F219" t="inlineStr">
        <is>
          <t>SKÅNE LÄN</t>
        </is>
      </c>
      <c r="G219" t="inlineStr">
        <is>
          <t>KLIPPAN</t>
        </is>
      </c>
      <c r="I219" t="n">
        <v>7.8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9142-2025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45714</v>
      </c>
      <c r="E220" s="1" t="n">
        <v>46326</v>
      </c>
      <c r="F220" t="inlineStr">
        <is>
          <t>SKÅNE LÄN</t>
        </is>
      </c>
      <c r="G220" t="inlineStr">
        <is>
          <t>KLIPPAN</t>
        </is>
      </c>
      <c r="I220" t="n">
        <v>1.5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28247-2023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45099</v>
      </c>
      <c r="E221" s="1" t="n">
        <v>46326</v>
      </c>
      <c r="F221" t="inlineStr">
        <is>
          <t>SKÅNE LÄN</t>
        </is>
      </c>
      <c r="G221" t="inlineStr">
        <is>
          <t>KLIPPAN</t>
        </is>
      </c>
      <c r="I221" t="n">
        <v>4.2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30215-2026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46206</v>
      </c>
      <c r="E222" s="1" t="n">
        <v>46326</v>
      </c>
      <c r="F222" t="inlineStr">
        <is>
          <t>SKÅNE LÄN</t>
        </is>
      </c>
      <c r="G222" t="inlineStr">
        <is>
          <t>KLIPPAN</t>
        </is>
      </c>
      <c r="H222" t="inlineStr">
        <is>
          <t>Sveaskog</t>
        </is>
      </c>
      <c r="I222" t="n">
        <v>2.9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30422-2026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46209</v>
      </c>
      <c r="E223" s="1" t="n">
        <v>46326</v>
      </c>
      <c r="F223" t="inlineStr">
        <is>
          <t>SKÅNE LÄN</t>
        </is>
      </c>
      <c r="G223" t="inlineStr">
        <is>
          <t>KLIPPAN</t>
        </is>
      </c>
      <c r="H223" t="inlineStr">
        <is>
          <t>Övriga Aktiebolag</t>
        </is>
      </c>
      <c r="I223" t="n">
        <v>2.8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4301-2024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45324</v>
      </c>
      <c r="E224" s="1" t="n">
        <v>46326</v>
      </c>
      <c r="F224" t="inlineStr">
        <is>
          <t>SKÅNE LÄN</t>
        </is>
      </c>
      <c r="G224" t="inlineStr">
        <is>
          <t>KLIPPAN</t>
        </is>
      </c>
      <c r="H224" t="inlineStr">
        <is>
          <t>Övriga Aktiebolag</t>
        </is>
      </c>
      <c r="I224" t="n">
        <v>0.5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30353-2026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46209</v>
      </c>
      <c r="E225" s="1" t="n">
        <v>46326</v>
      </c>
      <c r="F225" t="inlineStr">
        <is>
          <t>SKÅNE LÄN</t>
        </is>
      </c>
      <c r="G225" t="inlineStr">
        <is>
          <t>KLIPPAN</t>
        </is>
      </c>
      <c r="H225" t="inlineStr">
        <is>
          <t>Sveaskog</t>
        </is>
      </c>
      <c r="I225" t="n">
        <v>6.2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30346-2026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46209</v>
      </c>
      <c r="E226" s="1" t="n">
        <v>46326</v>
      </c>
      <c r="F226" t="inlineStr">
        <is>
          <t>SKÅNE LÄN</t>
        </is>
      </c>
      <c r="G226" t="inlineStr">
        <is>
          <t>KLIPPAN</t>
        </is>
      </c>
      <c r="H226" t="inlineStr">
        <is>
          <t>Sveaskog</t>
        </is>
      </c>
      <c r="I226" t="n">
        <v>5.8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22202-2023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45069</v>
      </c>
      <c r="E227" s="1" t="n">
        <v>46326</v>
      </c>
      <c r="F227" t="inlineStr">
        <is>
          <t>SKÅNE LÄN</t>
        </is>
      </c>
      <c r="G227" t="inlineStr">
        <is>
          <t>KLIPPAN</t>
        </is>
      </c>
      <c r="I227" t="n">
        <v>7.5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30356-2026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46209</v>
      </c>
      <c r="E228" s="1" t="n">
        <v>46326</v>
      </c>
      <c r="F228" t="inlineStr">
        <is>
          <t>SKÅNE LÄN</t>
        </is>
      </c>
      <c r="G228" t="inlineStr">
        <is>
          <t>KLIPPAN</t>
        </is>
      </c>
      <c r="H228" t="inlineStr">
        <is>
          <t>Sveaskog</t>
        </is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20012-2022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44697</v>
      </c>
      <c r="E229" s="1" t="n">
        <v>46326</v>
      </c>
      <c r="F229" t="inlineStr">
        <is>
          <t>SKÅNE LÄN</t>
        </is>
      </c>
      <c r="G229" t="inlineStr">
        <is>
          <t>KLIPPAN</t>
        </is>
      </c>
      <c r="I229" t="n">
        <v>17.2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31120-2026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46216</v>
      </c>
      <c r="E230" s="1" t="n">
        <v>46326</v>
      </c>
      <c r="F230" t="inlineStr">
        <is>
          <t>SKÅNE LÄN</t>
        </is>
      </c>
      <c r="G230" t="inlineStr">
        <is>
          <t>KLIPPAN</t>
        </is>
      </c>
      <c r="I230" t="n">
        <v>1.4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23341-2026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46162</v>
      </c>
      <c r="E231" s="1" t="n">
        <v>46326</v>
      </c>
      <c r="F231" t="inlineStr">
        <is>
          <t>SKÅNE LÄN</t>
        </is>
      </c>
      <c r="G231" t="inlineStr">
        <is>
          <t>KLIPPAN</t>
        </is>
      </c>
      <c r="I231" t="n">
        <v>2.3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16418-2025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45751</v>
      </c>
      <c r="E232" s="1" t="n">
        <v>46326</v>
      </c>
      <c r="F232" t="inlineStr">
        <is>
          <t>SKÅNE LÄN</t>
        </is>
      </c>
      <c r="G232" t="inlineStr">
        <is>
          <t>KLIPPAN</t>
        </is>
      </c>
      <c r="I232" t="n">
        <v>0.8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31119-2026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46216</v>
      </c>
      <c r="E233" s="1" t="n">
        <v>46326</v>
      </c>
      <c r="F233" t="inlineStr">
        <is>
          <t>SKÅNE LÄN</t>
        </is>
      </c>
      <c r="G233" t="inlineStr">
        <is>
          <t>KLIPPAN</t>
        </is>
      </c>
      <c r="I233" t="n">
        <v>0.6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31121-2026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46216</v>
      </c>
      <c r="E234" s="1" t="n">
        <v>46326</v>
      </c>
      <c r="F234" t="inlineStr">
        <is>
          <t>SKÅNE LÄN</t>
        </is>
      </c>
      <c r="G234" t="inlineStr">
        <is>
          <t>KLIPPAN</t>
        </is>
      </c>
      <c r="I234" t="n">
        <v>0.6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29500-2026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46198</v>
      </c>
      <c r="E235" s="1" t="n">
        <v>46326</v>
      </c>
      <c r="F235" t="inlineStr">
        <is>
          <t>SKÅNE LÄN</t>
        </is>
      </c>
      <c r="G235" t="inlineStr">
        <is>
          <t>KLIPPAN</t>
        </is>
      </c>
      <c r="H235" t="inlineStr">
        <is>
          <t>Sveaskog</t>
        </is>
      </c>
      <c r="I235" t="n">
        <v>0.8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63720-2023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45275</v>
      </c>
      <c r="E236" s="1" t="n">
        <v>46326</v>
      </c>
      <c r="F236" t="inlineStr">
        <is>
          <t>SKÅNE LÄN</t>
        </is>
      </c>
      <c r="G236" t="inlineStr">
        <is>
          <t>KLIPPAN</t>
        </is>
      </c>
      <c r="I236" t="n">
        <v>1.7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14278-2024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45393</v>
      </c>
      <c r="E237" s="1" t="n">
        <v>46326</v>
      </c>
      <c r="F237" t="inlineStr">
        <is>
          <t>SKÅNE LÄN</t>
        </is>
      </c>
      <c r="G237" t="inlineStr">
        <is>
          <t>KLIPPAN</t>
        </is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47869-2022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44855</v>
      </c>
      <c r="E238" s="1" t="n">
        <v>46326</v>
      </c>
      <c r="F238" t="inlineStr">
        <is>
          <t>SKÅNE LÄN</t>
        </is>
      </c>
      <c r="G238" t="inlineStr">
        <is>
          <t>KLIPPAN</t>
        </is>
      </c>
      <c r="I238" t="n">
        <v>2.4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6615-2024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45341</v>
      </c>
      <c r="E239" s="1" t="n">
        <v>46326</v>
      </c>
      <c r="F239" t="inlineStr">
        <is>
          <t>SKÅNE LÄN</t>
        </is>
      </c>
      <c r="G239" t="inlineStr">
        <is>
          <t>KLIPPAN</t>
        </is>
      </c>
      <c r="I239" t="n">
        <v>0.4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24647-2023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45084</v>
      </c>
      <c r="E240" s="1" t="n">
        <v>46326</v>
      </c>
      <c r="F240" t="inlineStr">
        <is>
          <t>SKÅNE LÄN</t>
        </is>
      </c>
      <c r="G240" t="inlineStr">
        <is>
          <t>KLIPPAN</t>
        </is>
      </c>
      <c r="H240" t="inlineStr">
        <is>
          <t>Övriga Aktiebolag</t>
        </is>
      </c>
      <c r="I240" t="n">
        <v>11.6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20082-2026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46136</v>
      </c>
      <c r="E241" s="1" t="n">
        <v>46326</v>
      </c>
      <c r="F241" t="inlineStr">
        <is>
          <t>SKÅNE LÄN</t>
        </is>
      </c>
      <c r="G241" t="inlineStr">
        <is>
          <t>KLIPPAN</t>
        </is>
      </c>
      <c r="H241" t="inlineStr">
        <is>
          <t>Sveaskog</t>
        </is>
      </c>
      <c r="I241" t="n">
        <v>5.6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13420-2023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45005</v>
      </c>
      <c r="E242" s="1" t="n">
        <v>46326</v>
      </c>
      <c r="F242" t="inlineStr">
        <is>
          <t>SKÅNE LÄN</t>
        </is>
      </c>
      <c r="G242" t="inlineStr">
        <is>
          <t>KLIPPAN</t>
        </is>
      </c>
      <c r="H242" t="inlineStr">
        <is>
          <t>Övriga Aktiebolag</t>
        </is>
      </c>
      <c r="I242" t="n">
        <v>0.9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38880-2026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46286</v>
      </c>
      <c r="E243" s="1" t="n">
        <v>46326</v>
      </c>
      <c r="F243" t="inlineStr">
        <is>
          <t>SKÅNE LÄN</t>
        </is>
      </c>
      <c r="G243" t="inlineStr">
        <is>
          <t>KLIPPAN</t>
        </is>
      </c>
      <c r="I243" t="n">
        <v>0.6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42281-2024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45562</v>
      </c>
      <c r="E244" s="1" t="n">
        <v>46326</v>
      </c>
      <c r="F244" t="inlineStr">
        <is>
          <t>SKÅNE LÄN</t>
        </is>
      </c>
      <c r="G244" t="inlineStr">
        <is>
          <t>KLIPPAN</t>
        </is>
      </c>
      <c r="H244" t="inlineStr">
        <is>
          <t>Sveaskog</t>
        </is>
      </c>
      <c r="I244" t="n">
        <v>0.6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42284-2024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45562</v>
      </c>
      <c r="E245" s="1" t="n">
        <v>46326</v>
      </c>
      <c r="F245" t="inlineStr">
        <is>
          <t>SKÅNE LÄN</t>
        </is>
      </c>
      <c r="G245" t="inlineStr">
        <is>
          <t>KLIPPAN</t>
        </is>
      </c>
      <c r="H245" t="inlineStr">
        <is>
          <t>Sveaskog</t>
        </is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3489-2024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45320</v>
      </c>
      <c r="E246" s="1" t="n">
        <v>46326</v>
      </c>
      <c r="F246" t="inlineStr">
        <is>
          <t>SKÅNE LÄN</t>
        </is>
      </c>
      <c r="G246" t="inlineStr">
        <is>
          <t>KLIPPAN</t>
        </is>
      </c>
      <c r="I246" t="n">
        <v>1.7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39060-2026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46287</v>
      </c>
      <c r="E247" s="1" t="n">
        <v>46326</v>
      </c>
      <c r="F247" t="inlineStr">
        <is>
          <t>SKÅNE LÄN</t>
        </is>
      </c>
      <c r="G247" t="inlineStr">
        <is>
          <t>KLIPPAN</t>
        </is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33181-2026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46245</v>
      </c>
      <c r="E248" s="1" t="n">
        <v>46326</v>
      </c>
      <c r="F248" t="inlineStr">
        <is>
          <t>SKÅNE LÄN</t>
        </is>
      </c>
      <c r="G248" t="inlineStr">
        <is>
          <t>KLIPPAN</t>
        </is>
      </c>
      <c r="I248" t="n">
        <v>0.9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40173-2024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45554</v>
      </c>
      <c r="E249" s="1" t="n">
        <v>46326</v>
      </c>
      <c r="F249" t="inlineStr">
        <is>
          <t>SKÅNE LÄN</t>
        </is>
      </c>
      <c r="G249" t="inlineStr">
        <is>
          <t>KLIPPAN</t>
        </is>
      </c>
      <c r="H249" t="inlineStr">
        <is>
          <t>Sveaskog</t>
        </is>
      </c>
      <c r="I249" t="n">
        <v>2.4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7746-2024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45349</v>
      </c>
      <c r="E250" s="1" t="n">
        <v>46326</v>
      </c>
      <c r="F250" t="inlineStr">
        <is>
          <t>SKÅNE LÄN</t>
        </is>
      </c>
      <c r="G250" t="inlineStr">
        <is>
          <t>KLIPPAN</t>
        </is>
      </c>
      <c r="H250" t="inlineStr">
        <is>
          <t>Övriga Aktiebolag</t>
        </is>
      </c>
      <c r="I250" t="n">
        <v>1.9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55613-2022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44883</v>
      </c>
      <c r="E251" s="1" t="n">
        <v>46326</v>
      </c>
      <c r="F251" t="inlineStr">
        <is>
          <t>SKÅNE LÄN</t>
        </is>
      </c>
      <c r="G251" t="inlineStr">
        <is>
          <t>KLIPPAN</t>
        </is>
      </c>
      <c r="H251" t="inlineStr">
        <is>
          <t>Övriga Aktiebolag</t>
        </is>
      </c>
      <c r="I251" t="n">
        <v>1.6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33783-2026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46251</v>
      </c>
      <c r="E252" s="1" t="n">
        <v>46326</v>
      </c>
      <c r="F252" t="inlineStr">
        <is>
          <t>SKÅNE LÄN</t>
        </is>
      </c>
      <c r="G252" t="inlineStr">
        <is>
          <t>KLIPPAN</t>
        </is>
      </c>
      <c r="I252" t="n">
        <v>3.8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36606-2024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45537</v>
      </c>
      <c r="E253" s="1" t="n">
        <v>46326</v>
      </c>
      <c r="F253" t="inlineStr">
        <is>
          <t>SKÅNE LÄN</t>
        </is>
      </c>
      <c r="G253" t="inlineStr">
        <is>
          <t>KLIPPAN</t>
        </is>
      </c>
      <c r="I253" t="n">
        <v>1.6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40508-2026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46295</v>
      </c>
      <c r="E254" s="1" t="n">
        <v>46326</v>
      </c>
      <c r="F254" t="inlineStr">
        <is>
          <t>SKÅNE LÄN</t>
        </is>
      </c>
      <c r="G254" t="inlineStr">
        <is>
          <t>KLIPPAN</t>
        </is>
      </c>
      <c r="I254" t="n">
        <v>6.9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34199-2026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46253</v>
      </c>
      <c r="E255" s="1" t="n">
        <v>46326</v>
      </c>
      <c r="F255" t="inlineStr">
        <is>
          <t>SKÅNE LÄN</t>
        </is>
      </c>
      <c r="G255" t="inlineStr">
        <is>
          <t>KLIPPAN</t>
        </is>
      </c>
      <c r="I255" t="n">
        <v>2.3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23220-2026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46162</v>
      </c>
      <c r="E256" s="1" t="n">
        <v>46326</v>
      </c>
      <c r="F256" t="inlineStr">
        <is>
          <t>SKÅNE LÄN</t>
        </is>
      </c>
      <c r="G256" t="inlineStr">
        <is>
          <t>KLIPPAN</t>
        </is>
      </c>
      <c r="I256" t="n">
        <v>1.4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24138-2026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46168</v>
      </c>
      <c r="E257" s="1" t="n">
        <v>46326</v>
      </c>
      <c r="F257" t="inlineStr">
        <is>
          <t>SKÅNE LÄN</t>
        </is>
      </c>
      <c r="G257" t="inlineStr">
        <is>
          <t>KLIPPAN</t>
        </is>
      </c>
      <c r="I257" t="n">
        <v>3.3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35635-2026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46265</v>
      </c>
      <c r="E258" s="1" t="n">
        <v>46326</v>
      </c>
      <c r="F258" t="inlineStr">
        <is>
          <t>SKÅNE LÄN</t>
        </is>
      </c>
      <c r="G258" t="inlineStr">
        <is>
          <t>KLIPPAN</t>
        </is>
      </c>
      <c r="I258" t="n">
        <v>3.7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36480-2026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46269</v>
      </c>
      <c r="E259" s="1" t="n">
        <v>46326</v>
      </c>
      <c r="F259" t="inlineStr">
        <is>
          <t>SKÅNE LÄN</t>
        </is>
      </c>
      <c r="G259" t="inlineStr">
        <is>
          <t>KLIPPAN</t>
        </is>
      </c>
      <c r="I259" t="n">
        <v>1.7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43626-2026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46315</v>
      </c>
      <c r="E260" s="1" t="n">
        <v>46326</v>
      </c>
      <c r="F260" t="inlineStr">
        <is>
          <t>SKÅNE LÄN</t>
        </is>
      </c>
      <c r="G260" t="inlineStr">
        <is>
          <t>KLIPPAN</t>
        </is>
      </c>
      <c r="I260" t="n">
        <v>0.8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43738-2026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46316</v>
      </c>
      <c r="E261" s="1" t="n">
        <v>46326</v>
      </c>
      <c r="F261" t="inlineStr">
        <is>
          <t>SKÅNE LÄN</t>
        </is>
      </c>
      <c r="G261" t="inlineStr">
        <is>
          <t>KLIPPAN</t>
        </is>
      </c>
      <c r="I261" t="n">
        <v>0.7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44051-2026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46317</v>
      </c>
      <c r="E262" s="1" t="n">
        <v>46326</v>
      </c>
      <c r="F262" t="inlineStr">
        <is>
          <t>SKÅNE LÄN</t>
        </is>
      </c>
      <c r="G262" t="inlineStr">
        <is>
          <t>KLIPPAN</t>
        </is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30514-2026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46210</v>
      </c>
      <c r="E263" s="1" t="n">
        <v>46326</v>
      </c>
      <c r="F263" t="inlineStr">
        <is>
          <t>SKÅNE LÄN</t>
        </is>
      </c>
      <c r="G263" t="inlineStr">
        <is>
          <t>KLIPPAN</t>
        </is>
      </c>
      <c r="H263" t="inlineStr">
        <is>
          <t>Övriga Aktiebolag</t>
        </is>
      </c>
      <c r="I263" t="n">
        <v>6.8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44336-2026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46321</v>
      </c>
      <c r="E264" s="1" t="n">
        <v>46326</v>
      </c>
      <c r="F264" t="inlineStr">
        <is>
          <t>SKÅNE LÄN</t>
        </is>
      </c>
      <c r="G264" t="inlineStr">
        <is>
          <t>KLIPPAN</t>
        </is>
      </c>
      <c r="I264" t="n">
        <v>5.1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31588-2026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46223</v>
      </c>
      <c r="E265" s="1" t="n">
        <v>46326</v>
      </c>
      <c r="F265" t="inlineStr">
        <is>
          <t>SKÅNE LÄN</t>
        </is>
      </c>
      <c r="G265" t="inlineStr">
        <is>
          <t>KLIPPAN</t>
        </is>
      </c>
      <c r="I265" t="n">
        <v>3.5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38234-2026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46281</v>
      </c>
      <c r="E266" s="1" t="n">
        <v>46326</v>
      </c>
      <c r="F266" t="inlineStr">
        <is>
          <t>SKÅNE LÄN</t>
        </is>
      </c>
      <c r="G266" t="inlineStr">
        <is>
          <t>KLIPPAN</t>
        </is>
      </c>
      <c r="I266" t="n">
        <v>0.2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S 3541-2023</t>
        </is>
      </c>
      <c r="B267" t="inlineStr">
        <is>
          <t>samrådsanmälan</t>
        </is>
      </c>
      <c r="C267" t="inlineStr">
        <is>
          <t>Askåterföring</t>
        </is>
      </c>
      <c r="D267" s="1" t="n">
        <v>45209</v>
      </c>
      <c r="E267" s="1" t="n">
        <v>46326</v>
      </c>
      <c r="F267" t="inlineStr">
        <is>
          <t>SKÅNE LÄN</t>
        </is>
      </c>
      <c r="G267" t="inlineStr">
        <is>
          <t>KLIPPAN</t>
        </is>
      </c>
      <c r="I267" t="n">
        <v>11.8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S 5970-2022</t>
        </is>
      </c>
      <c r="B268" t="inlineStr">
        <is>
          <t>samrådsanmälan</t>
        </is>
      </c>
      <c r="C268" t="inlineStr">
        <is>
          <t>Askåterföring</t>
        </is>
      </c>
      <c r="D268" s="1" t="n">
        <v>44858</v>
      </c>
      <c r="E268" s="1" t="n">
        <v>46326</v>
      </c>
      <c r="F268" t="inlineStr">
        <is>
          <t>SKÅNE LÄN</t>
        </is>
      </c>
      <c r="G268" t="inlineStr">
        <is>
          <t>KLIPPAN</t>
        </is>
      </c>
      <c r="I268" t="n">
        <v>10.6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S 116-2023</t>
        </is>
      </c>
      <c r="B269" t="inlineStr">
        <is>
          <t>samrådsanmälan</t>
        </is>
      </c>
      <c r="C269" t="inlineStr">
        <is>
          <t>Askåterföring</t>
        </is>
      </c>
      <c r="D269" s="1" t="n">
        <v>44936</v>
      </c>
      <c r="E269" s="1" t="n">
        <v>46326</v>
      </c>
      <c r="F269" t="inlineStr">
        <is>
          <t>SKÅNE LÄN</t>
        </is>
      </c>
      <c r="G269" t="inlineStr">
        <is>
          <t>KLIPPAN</t>
        </is>
      </c>
      <c r="I269" t="n">
        <v>51.8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S 525-2024</t>
        </is>
      </c>
      <c r="B270" t="inlineStr">
        <is>
          <t>samrådsanmälan</t>
        </is>
      </c>
      <c r="C270" t="inlineStr">
        <is>
          <t>Askåterföring</t>
        </is>
      </c>
      <c r="D270" s="1" t="n">
        <v>45348</v>
      </c>
      <c r="E270" s="1" t="n">
        <v>46326</v>
      </c>
      <c r="F270" t="inlineStr">
        <is>
          <t>SKÅNE LÄN</t>
        </is>
      </c>
      <c r="G270" t="inlineStr">
        <is>
          <t>KLIPPAN</t>
        </is>
      </c>
      <c r="I270" t="n">
        <v>22.3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S 1710-2024</t>
        </is>
      </c>
      <c r="B271" t="inlineStr">
        <is>
          <t>samrådsanmälan</t>
        </is>
      </c>
      <c r="C271" t="inlineStr">
        <is>
          <t>Askåterföring</t>
        </is>
      </c>
      <c r="D271" s="1" t="n">
        <v>45434</v>
      </c>
      <c r="E271" s="1" t="n">
        <v>46326</v>
      </c>
      <c r="F271" t="inlineStr">
        <is>
          <t>SKÅNE LÄN</t>
        </is>
      </c>
      <c r="G271" t="inlineStr">
        <is>
          <t>KLIPPAN</t>
        </is>
      </c>
      <c r="H271" t="inlineStr">
        <is>
          <t>Övriga Aktiebolag</t>
        </is>
      </c>
      <c r="I271" t="n">
        <v>13.4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S 1713-2024</t>
        </is>
      </c>
      <c r="B272" t="inlineStr">
        <is>
          <t>samrådsanmälan</t>
        </is>
      </c>
      <c r="C272" t="inlineStr">
        <is>
          <t>Askåterföring</t>
        </is>
      </c>
      <c r="D272" s="1" t="n">
        <v>45434</v>
      </c>
      <c r="E272" s="1" t="n">
        <v>46326</v>
      </c>
      <c r="F272" t="inlineStr">
        <is>
          <t>SKÅNE LÄN</t>
        </is>
      </c>
      <c r="G272" t="inlineStr">
        <is>
          <t>KLIPPAN</t>
        </is>
      </c>
      <c r="H272" t="inlineStr">
        <is>
          <t>Övriga Aktiebolag</t>
        </is>
      </c>
      <c r="I272" t="n">
        <v>12.3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S 3796-2024</t>
        </is>
      </c>
      <c r="B273" t="inlineStr">
        <is>
          <t>samrådsanmälan</t>
        </is>
      </c>
      <c r="C273" t="inlineStr">
        <is>
          <t>Annan skogsbruksåtgärd</t>
        </is>
      </c>
      <c r="D273" s="1" t="n">
        <v>45558</v>
      </c>
      <c r="E273" s="1" t="n">
        <v>46326</v>
      </c>
      <c r="F273" t="inlineStr">
        <is>
          <t>SKÅNE LÄN</t>
        </is>
      </c>
      <c r="G273" t="inlineStr">
        <is>
          <t>KLIPPAN</t>
        </is>
      </c>
      <c r="H273" t="inlineStr">
        <is>
          <t>Sveaskog</t>
        </is>
      </c>
      <c r="I273" t="n">
        <v>2.7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S 3804-2024</t>
        </is>
      </c>
      <c r="B274" t="inlineStr">
        <is>
          <t>samrådsanmälan</t>
        </is>
      </c>
      <c r="C274" t="inlineStr">
        <is>
          <t>Annan skogsbruksåtgärd</t>
        </is>
      </c>
      <c r="D274" s="1" t="n">
        <v>45558</v>
      </c>
      <c r="E274" s="1" t="n">
        <v>46326</v>
      </c>
      <c r="F274" t="inlineStr">
        <is>
          <t>SKÅNE LÄN</t>
        </is>
      </c>
      <c r="G274" t="inlineStr">
        <is>
          <t>KLIPPAN</t>
        </is>
      </c>
      <c r="H274" t="inlineStr">
        <is>
          <t>Sveaskog</t>
        </is>
      </c>
      <c r="I274" t="n">
        <v>1.3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S 704-2022</t>
        </is>
      </c>
      <c r="B275" t="inlineStr">
        <is>
          <t>samrådsanmälan</t>
        </is>
      </c>
      <c r="C275" t="inlineStr">
        <is>
          <t>Skogsbilväg</t>
        </is>
      </c>
      <c r="D275" s="1" t="n">
        <v>44599</v>
      </c>
      <c r="E275" s="1" t="n">
        <v>46326</v>
      </c>
      <c r="F275" t="inlineStr">
        <is>
          <t>SKÅNE LÄN</t>
        </is>
      </c>
      <c r="G275" t="inlineStr">
        <is>
          <t>KLIPPAN</t>
        </is>
      </c>
      <c r="I275" t="n">
        <v>0.7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S 2678-2022</t>
        </is>
      </c>
      <c r="B276" t="inlineStr">
        <is>
          <t>samrådsanmälan</t>
        </is>
      </c>
      <c r="C276" t="inlineStr">
        <is>
          <t>Askåterföring</t>
        </is>
      </c>
      <c r="D276" s="1" t="n">
        <v>44701</v>
      </c>
      <c r="E276" s="1" t="n">
        <v>46326</v>
      </c>
      <c r="F276" t="inlineStr">
        <is>
          <t>SKÅNE LÄN</t>
        </is>
      </c>
      <c r="G276" t="inlineStr">
        <is>
          <t>KLIPPAN</t>
        </is>
      </c>
      <c r="I276" t="n">
        <v>15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S 1716-2024</t>
        </is>
      </c>
      <c r="B277" t="inlineStr">
        <is>
          <t>samrådsanmälan</t>
        </is>
      </c>
      <c r="C277" t="inlineStr">
        <is>
          <t>Askåterföring</t>
        </is>
      </c>
      <c r="D277" s="1" t="n">
        <v>45434</v>
      </c>
      <c r="E277" s="1" t="n">
        <v>46326</v>
      </c>
      <c r="F277" t="inlineStr">
        <is>
          <t>SKÅNE LÄN</t>
        </is>
      </c>
      <c r="G277" t="inlineStr">
        <is>
          <t>KLIPPAN</t>
        </is>
      </c>
      <c r="H277" t="inlineStr">
        <is>
          <t>Övriga Aktiebolag</t>
        </is>
      </c>
      <c r="I277" t="n">
        <v>29.5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S 110-2023</t>
        </is>
      </c>
      <c r="B278" t="inlineStr">
        <is>
          <t>samrådsanmälan</t>
        </is>
      </c>
      <c r="C278" t="inlineStr">
        <is>
          <t>Askåterföring</t>
        </is>
      </c>
      <c r="D278" s="1" t="n">
        <v>44936</v>
      </c>
      <c r="E278" s="1" t="n">
        <v>46326</v>
      </c>
      <c r="F278" t="inlineStr">
        <is>
          <t>SKÅNE LÄN</t>
        </is>
      </c>
      <c r="G278" t="inlineStr">
        <is>
          <t>KLIPPAN</t>
        </is>
      </c>
      <c r="I278" t="n">
        <v>26.9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S 3792-2024</t>
        </is>
      </c>
      <c r="B279" t="inlineStr">
        <is>
          <t>samrådsanmälan</t>
        </is>
      </c>
      <c r="C279" t="inlineStr">
        <is>
          <t>Annan skogsbruksåtgärd</t>
        </is>
      </c>
      <c r="D279" s="1" t="n">
        <v>45558</v>
      </c>
      <c r="E279" s="1" t="n">
        <v>46326</v>
      </c>
      <c r="F279" t="inlineStr">
        <is>
          <t>SKÅNE LÄN</t>
        </is>
      </c>
      <c r="G279" t="inlineStr">
        <is>
          <t>KLIPPAN</t>
        </is>
      </c>
      <c r="H279" t="inlineStr">
        <is>
          <t>Sveaskog</t>
        </is>
      </c>
      <c r="I279" t="n">
        <v>0.8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S 2690-2022</t>
        </is>
      </c>
      <c r="B280" t="inlineStr">
        <is>
          <t>samrådsanmälan</t>
        </is>
      </c>
      <c r="C280" t="inlineStr">
        <is>
          <t>Askåterföring</t>
        </is>
      </c>
      <c r="D280" s="1" t="n">
        <v>44701</v>
      </c>
      <c r="E280" s="1" t="n">
        <v>46326</v>
      </c>
      <c r="F280" t="inlineStr">
        <is>
          <t>SKÅNE LÄN</t>
        </is>
      </c>
      <c r="G280" t="inlineStr">
        <is>
          <t>KLIPPAN</t>
        </is>
      </c>
      <c r="I280" t="n">
        <v>16.3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S 2225-2023</t>
        </is>
      </c>
      <c r="B281" t="inlineStr">
        <is>
          <t>samrådsanmälan</t>
        </is>
      </c>
      <c r="C281" t="inlineStr">
        <is>
          <t>Annan skogsbruksåtgärd</t>
        </is>
      </c>
      <c r="D281" s="1" t="n">
        <v>45109</v>
      </c>
      <c r="E281" s="1" t="n">
        <v>46326</v>
      </c>
      <c r="F281" t="inlineStr">
        <is>
          <t>SKÅNE LÄN</t>
        </is>
      </c>
      <c r="G281" t="inlineStr">
        <is>
          <t>KLIPPAN</t>
        </is>
      </c>
      <c r="I281" t="n">
        <v>15.2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S 5892-2022</t>
        </is>
      </c>
      <c r="B282" t="inlineStr">
        <is>
          <t>samrådsanmälan</t>
        </is>
      </c>
      <c r="C282" t="inlineStr">
        <is>
          <t>Askåterföring</t>
        </is>
      </c>
      <c r="D282" s="1" t="n">
        <v>44853</v>
      </c>
      <c r="E282" s="1" t="n">
        <v>46326</v>
      </c>
      <c r="F282" t="inlineStr">
        <is>
          <t>SKÅNE LÄN</t>
        </is>
      </c>
      <c r="G282" t="inlineStr">
        <is>
          <t>KLIPPAN</t>
        </is>
      </c>
      <c r="I282" t="n">
        <v>24.6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S 5986-2022</t>
        </is>
      </c>
      <c r="B283" t="inlineStr">
        <is>
          <t>samrådsanmälan</t>
        </is>
      </c>
      <c r="C283" t="inlineStr">
        <is>
          <t>Askåterföring</t>
        </is>
      </c>
      <c r="D283" s="1" t="n">
        <v>44859</v>
      </c>
      <c r="E283" s="1" t="n">
        <v>46326</v>
      </c>
      <c r="F283" t="inlineStr">
        <is>
          <t>SKÅNE LÄN</t>
        </is>
      </c>
      <c r="G283" t="inlineStr">
        <is>
          <t>KLIPPAN</t>
        </is>
      </c>
      <c r="I283" t="n">
        <v>19.6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S 4186-2024</t>
        </is>
      </c>
      <c r="B284" t="inlineStr">
        <is>
          <t>samrådsanmälan</t>
        </is>
      </c>
      <c r="C284" t="inlineStr">
        <is>
          <t>Askåterföring</t>
        </is>
      </c>
      <c r="D284" s="1" t="n">
        <v>45579</v>
      </c>
      <c r="E284" s="1" t="n">
        <v>46326</v>
      </c>
      <c r="F284" t="inlineStr">
        <is>
          <t>SKÅNE LÄN</t>
        </is>
      </c>
      <c r="G284" t="inlineStr">
        <is>
          <t>KLIPPAN</t>
        </is>
      </c>
      <c r="I284" t="n">
        <v>6.2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S 3806-2024</t>
        </is>
      </c>
      <c r="B285" t="inlineStr">
        <is>
          <t>samrådsanmälan</t>
        </is>
      </c>
      <c r="C285" t="inlineStr">
        <is>
          <t>Annan skogsbruksåtgärd</t>
        </is>
      </c>
      <c r="D285" s="1" t="n">
        <v>45558</v>
      </c>
      <c r="E285" s="1" t="n">
        <v>46326</v>
      </c>
      <c r="F285" t="inlineStr">
        <is>
          <t>SKÅNE LÄN</t>
        </is>
      </c>
      <c r="G285" t="inlineStr">
        <is>
          <t>KLIPPAN</t>
        </is>
      </c>
      <c r="H285" t="inlineStr">
        <is>
          <t>Sveaskog</t>
        </is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S 1606-2025</t>
        </is>
      </c>
      <c r="B286" t="inlineStr">
        <is>
          <t>samrådsanmälan</t>
        </is>
      </c>
      <c r="C286" t="inlineStr">
        <is>
          <t>Askåterföring</t>
        </is>
      </c>
      <c r="D286" s="1" t="n">
        <v>45798</v>
      </c>
      <c r="E286" s="1" t="n">
        <v>46326</v>
      </c>
      <c r="F286" t="inlineStr">
        <is>
          <t>SKÅNE LÄN</t>
        </is>
      </c>
      <c r="G286" t="inlineStr">
        <is>
          <t>KLIPPAN</t>
        </is>
      </c>
      <c r="I286" t="n">
        <v>11.7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S 2907-2025</t>
        </is>
      </c>
      <c r="B287" t="inlineStr">
        <is>
          <t>samrådsanmälan</t>
        </is>
      </c>
      <c r="C287" t="inlineStr">
        <is>
          <t>Askåterföring</t>
        </is>
      </c>
      <c r="D287" s="1" t="n">
        <v>45947</v>
      </c>
      <c r="E287" s="1" t="n">
        <v>46326</v>
      </c>
      <c r="F287" t="inlineStr">
        <is>
          <t>SKÅNE LÄN</t>
        </is>
      </c>
      <c r="G287" t="inlineStr">
        <is>
          <t>KLIPPAN</t>
        </is>
      </c>
      <c r="I287" t="n">
        <v>48.2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S 83-2026</t>
        </is>
      </c>
      <c r="B288" t="inlineStr">
        <is>
          <t>samrådsanmälan</t>
        </is>
      </c>
      <c r="C288" t="inlineStr">
        <is>
          <t>Askåterföring</t>
        </is>
      </c>
      <c r="D288" s="1" t="n">
        <v>46034</v>
      </c>
      <c r="E288" s="1" t="n">
        <v>46326</v>
      </c>
      <c r="F288" t="inlineStr">
        <is>
          <t>SKÅNE LÄN</t>
        </is>
      </c>
      <c r="G288" t="inlineStr">
        <is>
          <t>KLIPPAN</t>
        </is>
      </c>
      <c r="I288" t="n">
        <v>8.9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S 166-2026</t>
        </is>
      </c>
      <c r="B289" t="inlineStr">
        <is>
          <t>samrådsanmälan</t>
        </is>
      </c>
      <c r="C289" t="inlineStr">
        <is>
          <t>Askåterföring</t>
        </is>
      </c>
      <c r="D289" s="1" t="n">
        <v>46044</v>
      </c>
      <c r="E289" s="1" t="n">
        <v>46326</v>
      </c>
      <c r="F289" t="inlineStr">
        <is>
          <t>SKÅNE LÄN</t>
        </is>
      </c>
      <c r="G289" t="inlineStr">
        <is>
          <t>KLIPPAN</t>
        </is>
      </c>
      <c r="H289" t="inlineStr">
        <is>
          <t>Övriga Aktiebolag</t>
        </is>
      </c>
      <c r="I289" t="n">
        <v>4.2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S 2022-2026</t>
        </is>
      </c>
      <c r="B290" t="inlineStr">
        <is>
          <t>samrådsanmälan</t>
        </is>
      </c>
      <c r="C290" t="inlineStr">
        <is>
          <t>Askåterföring</t>
        </is>
      </c>
      <c r="D290" s="1" t="n">
        <v>46210</v>
      </c>
      <c r="E290" s="1" t="n">
        <v>46326</v>
      </c>
      <c r="F290" t="inlineStr">
        <is>
          <t>SKÅNE LÄN</t>
        </is>
      </c>
      <c r="G290" t="inlineStr">
        <is>
          <t>KLIPPAN</t>
        </is>
      </c>
      <c r="H290" t="inlineStr">
        <is>
          <t>Övriga Aktiebolag</t>
        </is>
      </c>
      <c r="I290" t="n">
        <v>14.3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S 2019-2026</t>
        </is>
      </c>
      <c r="B291" t="inlineStr">
        <is>
          <t>samrådsanmälan</t>
        </is>
      </c>
      <c r="C291" t="inlineStr">
        <is>
          <t>Askåterföring</t>
        </is>
      </c>
      <c r="D291" s="1" t="n">
        <v>46210</v>
      </c>
      <c r="E291" s="1" t="n">
        <v>46326</v>
      </c>
      <c r="F291" t="inlineStr">
        <is>
          <t>SKÅNE LÄN</t>
        </is>
      </c>
      <c r="G291" t="inlineStr">
        <is>
          <t>KLIPPAN</t>
        </is>
      </c>
      <c r="H291" t="inlineStr">
        <is>
          <t>Övriga Aktiebolag</t>
        </is>
      </c>
      <c r="I291" t="n">
        <v>20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>
      <c r="A292" t="inlineStr">
        <is>
          <t>S 2020-2026</t>
        </is>
      </c>
      <c r="B292" t="inlineStr">
        <is>
          <t>samrådsanmälan</t>
        </is>
      </c>
      <c r="C292" t="inlineStr">
        <is>
          <t>Askåterföring</t>
        </is>
      </c>
      <c r="D292" s="1" t="n">
        <v>46210</v>
      </c>
      <c r="E292" s="1" t="n">
        <v>46326</v>
      </c>
      <c r="F292" t="inlineStr">
        <is>
          <t>SKÅNE LÄN</t>
        </is>
      </c>
      <c r="G292" t="inlineStr">
        <is>
          <t>KLIPPAN</t>
        </is>
      </c>
      <c r="H292" t="inlineStr">
        <is>
          <t>Övriga Aktiebolag</t>
        </is>
      </c>
      <c r="I292" t="n">
        <v>30.3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2026-10-31T03:26:42Z</dcterms:created>
  <dcterms:modified xmlns:dcterms="http://purl.org/dc/terms/" xmlns:xsi="http://www.w3.org/2001/XMLSchema-instance" xsi:type="dcterms:W3CDTF">2026-10-31T03:26:43Z</dcterms:modified>
</cp:coreProperties>
</file>