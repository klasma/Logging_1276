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45294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45294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45294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45294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45294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45294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45294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30708-2021</t>
        </is>
      </c>
      <c r="B9" s="1" t="n">
        <v>44365</v>
      </c>
      <c r="C9" s="1" t="n">
        <v>45294</v>
      </c>
      <c r="D9" t="inlineStr">
        <is>
          <t>SKÅNE LÄN</t>
        </is>
      </c>
      <c r="E9" t="inlineStr">
        <is>
          <t>KLIPPAN</t>
        </is>
      </c>
      <c r="G9" t="n">
        <v>0.5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HYPERLINK("https://klasma.github.io/Logging_1276/artfynd/A 30708-2021 artfynd.xlsx", "A 30708-2021")</f>
        <v/>
      </c>
      <c r="T9">
        <f>HYPERLINK("https://klasma.github.io/Logging_1276/kartor/A 30708-2021 karta.png", "A 30708-2021")</f>
        <v/>
      </c>
      <c r="V9">
        <f>HYPERLINK("https://klasma.github.io/Logging_1276/klagomål/A 30708-2021 FSC-klagomål.docx", "A 30708-2021")</f>
        <v/>
      </c>
      <c r="W9">
        <f>HYPERLINK("https://klasma.github.io/Logging_1276/klagomålsmail/A 30708-2021 FSC-klagomål mail.docx", "A 30708-2021")</f>
        <v/>
      </c>
      <c r="X9">
        <f>HYPERLINK("https://klasma.github.io/Logging_1276/tillsyn/A 30708-2021 tillsynsbegäran.docx", "A 30708-2021")</f>
        <v/>
      </c>
      <c r="Y9">
        <f>HYPERLINK("https://klasma.github.io/Logging_1276/tillsynsmail/A 30708-2021 tillsynsbegäran mail.docx", "A 30708-2021")</f>
        <v/>
      </c>
    </row>
    <row r="10" ht="15" customHeight="1">
      <c r="A10" t="inlineStr">
        <is>
          <t>A 30721-2021</t>
        </is>
      </c>
      <c r="B10" s="1" t="n">
        <v>44365</v>
      </c>
      <c r="C10" s="1" t="n">
        <v>45294</v>
      </c>
      <c r="D10" t="inlineStr">
        <is>
          <t>SKÅNE LÄN</t>
        </is>
      </c>
      <c r="E10" t="inlineStr">
        <is>
          <t>KLIPPAN</t>
        </is>
      </c>
      <c r="G10" t="n">
        <v>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HYPERLINK("https://klasma.github.io/Logging_1276/artfynd/A 30721-2021 artfynd.xlsx", "A 30721-2021")</f>
        <v/>
      </c>
      <c r="T10">
        <f>HYPERLINK("https://klasma.github.io/Logging_1276/kartor/A 30721-2021 karta.png", "A 30721-2021")</f>
        <v/>
      </c>
      <c r="V10">
        <f>HYPERLINK("https://klasma.github.io/Logging_1276/klagomål/A 30721-2021 FSC-klagomål.docx", "A 30721-2021")</f>
        <v/>
      </c>
      <c r="W10">
        <f>HYPERLINK("https://klasma.github.io/Logging_1276/klagomålsmail/A 30721-2021 FSC-klagomål mail.docx", "A 30721-2021")</f>
        <v/>
      </c>
      <c r="X10">
        <f>HYPERLINK("https://klasma.github.io/Logging_1276/tillsyn/A 30721-2021 tillsynsbegäran.docx", "A 30721-2021")</f>
        <v/>
      </c>
      <c r="Y10">
        <f>HYPERLINK("https://klasma.github.io/Logging_1276/tillsynsmail/A 30721-2021 tillsynsbegäran mail.docx", "A 30721-2021")</f>
        <v/>
      </c>
    </row>
    <row r="11" ht="15" customHeight="1">
      <c r="A11" t="inlineStr">
        <is>
          <t>A 57968-2021</t>
        </is>
      </c>
      <c r="B11" s="1" t="n">
        <v>44487</v>
      </c>
      <c r="C11" s="1" t="n">
        <v>45294</v>
      </c>
      <c r="D11" t="inlineStr">
        <is>
          <t>SKÅNE LÄN</t>
        </is>
      </c>
      <c r="E11" t="inlineStr">
        <is>
          <t>KLIPPAN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Kösa</t>
        </is>
      </c>
      <c r="S11">
        <f>HYPERLINK("https://klasma.github.io/Logging_1276/artfynd/A 57968-2021 artfynd.xlsx", "A 57968-2021")</f>
        <v/>
      </c>
      <c r="T11">
        <f>HYPERLINK("https://klasma.github.io/Logging_1276/kartor/A 57968-2021 karta.png", "A 57968-2021")</f>
        <v/>
      </c>
      <c r="V11">
        <f>HYPERLINK("https://klasma.github.io/Logging_1276/klagomål/A 57968-2021 FSC-klagomål.docx", "A 57968-2021")</f>
        <v/>
      </c>
      <c r="W11">
        <f>HYPERLINK("https://klasma.github.io/Logging_1276/klagomålsmail/A 57968-2021 FSC-klagomål mail.docx", "A 57968-2021")</f>
        <v/>
      </c>
      <c r="X11">
        <f>HYPERLINK("https://klasma.github.io/Logging_1276/tillsyn/A 57968-2021 tillsynsbegäran.docx", "A 57968-2021")</f>
        <v/>
      </c>
      <c r="Y11">
        <f>HYPERLINK("https://klasma.github.io/Logging_1276/tillsynsmail/A 57968-2021 tillsynsbegäran mail.docx", "A 57968-2021")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45294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</row>
    <row r="13" ht="15" customHeight="1">
      <c r="A13" t="inlineStr">
        <is>
          <t>A 14892-2023</t>
        </is>
      </c>
      <c r="B13" s="1" t="n">
        <v>45015</v>
      </c>
      <c r="C13" s="1" t="n">
        <v>45294</v>
      </c>
      <c r="D13" t="inlineStr">
        <is>
          <t>SKÅNE LÄN</t>
        </is>
      </c>
      <c r="E13" t="inlineStr">
        <is>
          <t>KLIPPAN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HYPERLINK("https://klasma.github.io/Logging_1276/artfynd/A 14892-2023 artfynd.xlsx", "A 14892-2023")</f>
        <v/>
      </c>
      <c r="T13">
        <f>HYPERLINK("https://klasma.github.io/Logging_1276/kartor/A 14892-2023 karta.png", "A 14892-2023")</f>
        <v/>
      </c>
      <c r="V13">
        <f>HYPERLINK("https://klasma.github.io/Logging_1276/klagomål/A 14892-2023 FSC-klagomål.docx", "A 14892-2023")</f>
        <v/>
      </c>
      <c r="W13">
        <f>HYPERLINK("https://klasma.github.io/Logging_1276/klagomålsmail/A 14892-2023 FSC-klagomål mail.docx", "A 14892-2023")</f>
        <v/>
      </c>
      <c r="X13">
        <f>HYPERLINK("https://klasma.github.io/Logging_1276/tillsyn/A 14892-2023 tillsynsbegäran.docx", "A 14892-2023")</f>
        <v/>
      </c>
      <c r="Y13">
        <f>HYPERLINK("https://klasma.github.io/Logging_1276/tillsynsmail/A 14892-2023 tillsynsbegäran mail.docx", "A 14892-2023")</f>
        <v/>
      </c>
    </row>
    <row r="14" ht="15" customHeight="1">
      <c r="A14" t="inlineStr">
        <is>
          <t>A 24650-2023</t>
        </is>
      </c>
      <c r="B14" s="1" t="n">
        <v>45084</v>
      </c>
      <c r="C14" s="1" t="n">
        <v>45294</v>
      </c>
      <c r="D14" t="inlineStr">
        <is>
          <t>SKÅNE LÄN</t>
        </is>
      </c>
      <c r="E14" t="inlineStr">
        <is>
          <t>KLIPPAN</t>
        </is>
      </c>
      <c r="F14" t="inlineStr">
        <is>
          <t>Övriga Aktiebolag</t>
        </is>
      </c>
      <c r="G14" t="n">
        <v>10.1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HYPERLINK("https://klasma.github.io/Logging_1276/artfynd/A 24650-2023 artfynd.xlsx", "A 24650-2023")</f>
        <v/>
      </c>
      <c r="T14">
        <f>HYPERLINK("https://klasma.github.io/Logging_1276/kartor/A 24650-2023 karta.png", "A 24650-2023")</f>
        <v/>
      </c>
      <c r="V14">
        <f>HYPERLINK("https://klasma.github.io/Logging_1276/klagomål/A 24650-2023 FSC-klagomål.docx", "A 24650-2023")</f>
        <v/>
      </c>
      <c r="W14">
        <f>HYPERLINK("https://klasma.github.io/Logging_1276/klagomålsmail/A 24650-2023 FSC-klagomål mail.docx", "A 24650-2023")</f>
        <v/>
      </c>
      <c r="X14">
        <f>HYPERLINK("https://klasma.github.io/Logging_1276/tillsyn/A 24650-2023 tillsynsbegäran.docx", "A 24650-2023")</f>
        <v/>
      </c>
      <c r="Y14">
        <f>HYPERLINK("https://klasma.github.io/Logging_1276/tillsynsmail/A 24650-2023 tillsynsbegäran mail.docx", "A 24650-2023")</f>
        <v/>
      </c>
    </row>
    <row r="15" ht="15" customHeight="1">
      <c r="A15" t="inlineStr">
        <is>
          <t>A 50089-2023</t>
        </is>
      </c>
      <c r="B15" s="1" t="n">
        <v>45208</v>
      </c>
      <c r="C15" s="1" t="n">
        <v>45294</v>
      </c>
      <c r="D15" t="inlineStr">
        <is>
          <t>SKÅNE LÄN</t>
        </is>
      </c>
      <c r="E15" t="inlineStr">
        <is>
          <t>KLIPPAN</t>
        </is>
      </c>
      <c r="G15" t="n">
        <v>13.6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HYPERLINK("https://klasma.github.io/Logging_1276/artfynd/A 50089-2023 artfynd.xlsx", "A 50089-2023")</f>
        <v/>
      </c>
      <c r="T15">
        <f>HYPERLINK("https://klasma.github.io/Logging_1276/kartor/A 50089-2023 karta.png", "A 50089-2023")</f>
        <v/>
      </c>
      <c r="V15">
        <f>HYPERLINK("https://klasma.github.io/Logging_1276/klagomål/A 50089-2023 FSC-klagomål.docx", "A 50089-2023")</f>
        <v/>
      </c>
      <c r="W15">
        <f>HYPERLINK("https://klasma.github.io/Logging_1276/klagomålsmail/A 50089-2023 FSC-klagomål mail.docx", "A 50089-2023")</f>
        <v/>
      </c>
      <c r="X15">
        <f>HYPERLINK("https://klasma.github.io/Logging_1276/tillsyn/A 50089-2023 tillsynsbegäran.docx", "A 50089-2023")</f>
        <v/>
      </c>
      <c r="Y15">
        <f>HYPERLINK("https://klasma.github.io/Logging_1276/tillsynsmail/A 50089-2023 tillsynsbegäran mail.docx", "A 50089-2023")</f>
        <v/>
      </c>
    </row>
    <row r="16" ht="15" customHeight="1">
      <c r="A16" t="inlineStr">
        <is>
          <t>A 45014-2018</t>
        </is>
      </c>
      <c r="B16" s="1" t="n">
        <v>43356</v>
      </c>
      <c r="C16" s="1" t="n">
        <v>45294</v>
      </c>
      <c r="D16" t="inlineStr">
        <is>
          <t>SKÅNE LÄN</t>
        </is>
      </c>
      <c r="E16" t="inlineStr">
        <is>
          <t>KLIPPAN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48995-2018</t>
        </is>
      </c>
      <c r="B17" s="1" t="n">
        <v>43375</v>
      </c>
      <c r="C17" s="1" t="n">
        <v>45294</v>
      </c>
      <c r="D17" t="inlineStr">
        <is>
          <t>SKÅNE LÄN</t>
        </is>
      </c>
      <c r="E17" t="inlineStr">
        <is>
          <t>KLIPPAN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60749-2018</t>
        </is>
      </c>
      <c r="B18" s="1" t="n">
        <v>43409</v>
      </c>
      <c r="C18" s="1" t="n">
        <v>45294</v>
      </c>
      <c r="D18" t="inlineStr">
        <is>
          <t>SKÅNE LÄN</t>
        </is>
      </c>
      <c r="E18" t="inlineStr">
        <is>
          <t>KLIPPAN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60766-2018</t>
        </is>
      </c>
      <c r="B19" s="1" t="n">
        <v>43409</v>
      </c>
      <c r="C19" s="1" t="n">
        <v>45294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66454-2018</t>
        </is>
      </c>
      <c r="B20" s="1" t="n">
        <v>43437</v>
      </c>
      <c r="C20" s="1" t="n">
        <v>45294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66562-2018</t>
        </is>
      </c>
      <c r="B21" s="1" t="n">
        <v>43437</v>
      </c>
      <c r="C21" s="1" t="n">
        <v>45294</v>
      </c>
      <c r="D21" t="inlineStr">
        <is>
          <t>SKÅNE LÄN</t>
        </is>
      </c>
      <c r="E21" t="inlineStr">
        <is>
          <t>KLIPPAN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66478-2018</t>
        </is>
      </c>
      <c r="B22" s="1" t="n">
        <v>43437</v>
      </c>
      <c r="C22" s="1" t="n">
        <v>45294</v>
      </c>
      <c r="D22" t="inlineStr">
        <is>
          <t>SKÅNE LÄN</t>
        </is>
      </c>
      <c r="E22" t="inlineStr">
        <is>
          <t>KLIPPAN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373-2019</t>
        </is>
      </c>
      <c r="B23" s="1" t="n">
        <v>43454</v>
      </c>
      <c r="C23" s="1" t="n">
        <v>45294</v>
      </c>
      <c r="D23" t="inlineStr">
        <is>
          <t>SKÅNE LÄN</t>
        </is>
      </c>
      <c r="E23" t="inlineStr">
        <is>
          <t>KLIPPAN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3418-2019</t>
        </is>
      </c>
      <c r="B24" s="1" t="n">
        <v>43480</v>
      </c>
      <c r="C24" s="1" t="n">
        <v>45294</v>
      </c>
      <c r="D24" t="inlineStr">
        <is>
          <t>SKÅNE LÄN</t>
        </is>
      </c>
      <c r="E24" t="inlineStr">
        <is>
          <t>KLIPPAN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3419-2019</t>
        </is>
      </c>
      <c r="B25" s="1" t="n">
        <v>43480</v>
      </c>
      <c r="C25" s="1" t="n">
        <v>45294</v>
      </c>
      <c r="D25" t="inlineStr">
        <is>
          <t>SKÅNE LÄN</t>
        </is>
      </c>
      <c r="E25" t="inlineStr">
        <is>
          <t>KLIPPAN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7959-2019</t>
        </is>
      </c>
      <c r="B26" s="1" t="n">
        <v>43501</v>
      </c>
      <c r="C26" s="1" t="n">
        <v>45294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8952-2019</t>
        </is>
      </c>
      <c r="B27" s="1" t="n">
        <v>43503</v>
      </c>
      <c r="C27" s="1" t="n">
        <v>45294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10161-2019</t>
        </is>
      </c>
      <c r="B28" s="1" t="n">
        <v>43510</v>
      </c>
      <c r="C28" s="1" t="n">
        <v>45294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10157-2019</t>
        </is>
      </c>
      <c r="B29" s="1" t="n">
        <v>43510</v>
      </c>
      <c r="C29" s="1" t="n">
        <v>45294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12541-2019</t>
        </is>
      </c>
      <c r="B30" s="1" t="n">
        <v>43523</v>
      </c>
      <c r="C30" s="1" t="n">
        <v>45294</v>
      </c>
      <c r="D30" t="inlineStr">
        <is>
          <t>SKÅNE LÄN</t>
        </is>
      </c>
      <c r="E30" t="inlineStr">
        <is>
          <t>KLIPPAN</t>
        </is>
      </c>
      <c r="G30" t="n">
        <v>11.8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12476-2019</t>
        </is>
      </c>
      <c r="B31" s="1" t="n">
        <v>43523</v>
      </c>
      <c r="C31" s="1" t="n">
        <v>45294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12832-2019</t>
        </is>
      </c>
      <c r="B32" s="1" t="n">
        <v>43525</v>
      </c>
      <c r="C32" s="1" t="n">
        <v>45294</v>
      </c>
      <c r="D32" t="inlineStr">
        <is>
          <t>SKÅNE LÄN</t>
        </is>
      </c>
      <c r="E32" t="inlineStr">
        <is>
          <t>KLIPPAN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12837-2019</t>
        </is>
      </c>
      <c r="B33" s="1" t="n">
        <v>43525</v>
      </c>
      <c r="C33" s="1" t="n">
        <v>45294</v>
      </c>
      <c r="D33" t="inlineStr">
        <is>
          <t>SKÅNE LÄN</t>
        </is>
      </c>
      <c r="E33" t="inlineStr">
        <is>
          <t>KLIPPAN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14633-2019</t>
        </is>
      </c>
      <c r="B34" s="1" t="n">
        <v>43537</v>
      </c>
      <c r="C34" s="1" t="n">
        <v>45294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14876-2019</t>
        </is>
      </c>
      <c r="B35" s="1" t="n">
        <v>43538</v>
      </c>
      <c r="C35" s="1" t="n">
        <v>45294</v>
      </c>
      <c r="D35" t="inlineStr">
        <is>
          <t>SKÅNE LÄN</t>
        </is>
      </c>
      <c r="E35" t="inlineStr">
        <is>
          <t>KLIPPAN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14868-2019</t>
        </is>
      </c>
      <c r="B36" s="1" t="n">
        <v>43538</v>
      </c>
      <c r="C36" s="1" t="n">
        <v>45294</v>
      </c>
      <c r="D36" t="inlineStr">
        <is>
          <t>SKÅNE LÄN</t>
        </is>
      </c>
      <c r="E36" t="inlineStr">
        <is>
          <t>KLIPPAN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16178-2019</t>
        </is>
      </c>
      <c r="B37" s="1" t="n">
        <v>43545</v>
      </c>
      <c r="C37" s="1" t="n">
        <v>45294</v>
      </c>
      <c r="D37" t="inlineStr">
        <is>
          <t>SKÅNE LÄN</t>
        </is>
      </c>
      <c r="E37" t="inlineStr">
        <is>
          <t>KLIPPAN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18861-2019</t>
        </is>
      </c>
      <c r="B38" s="1" t="n">
        <v>43563</v>
      </c>
      <c r="C38" s="1" t="n">
        <v>45294</v>
      </c>
      <c r="D38" t="inlineStr">
        <is>
          <t>SKÅNE LÄN</t>
        </is>
      </c>
      <c r="E38" t="inlineStr">
        <is>
          <t>KLIPPAN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19334-2019</t>
        </is>
      </c>
      <c r="B39" s="1" t="n">
        <v>43565</v>
      </c>
      <c r="C39" s="1" t="n">
        <v>45294</v>
      </c>
      <c r="D39" t="inlineStr">
        <is>
          <t>SKÅNE LÄN</t>
        </is>
      </c>
      <c r="E39" t="inlineStr">
        <is>
          <t>KLIPPAN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19972-2019</t>
        </is>
      </c>
      <c r="B40" s="1" t="n">
        <v>43567</v>
      </c>
      <c r="C40" s="1" t="n">
        <v>45294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20048-2019</t>
        </is>
      </c>
      <c r="B41" s="1" t="n">
        <v>43570</v>
      </c>
      <c r="C41" s="1" t="n">
        <v>45294</v>
      </c>
      <c r="D41" t="inlineStr">
        <is>
          <t>SKÅNE LÄN</t>
        </is>
      </c>
      <c r="E41" t="inlineStr">
        <is>
          <t>KLIPPAN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21927-2019</t>
        </is>
      </c>
      <c r="B42" s="1" t="n">
        <v>43584</v>
      </c>
      <c r="C42" s="1" t="n">
        <v>45294</v>
      </c>
      <c r="D42" t="inlineStr">
        <is>
          <t>SKÅNE LÄN</t>
        </is>
      </c>
      <c r="E42" t="inlineStr">
        <is>
          <t>KLIPPAN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22118-2019</t>
        </is>
      </c>
      <c r="B43" s="1" t="n">
        <v>43585</v>
      </c>
      <c r="C43" s="1" t="n">
        <v>45294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22121-2019</t>
        </is>
      </c>
      <c r="B44" s="1" t="n">
        <v>43585</v>
      </c>
      <c r="C44" s="1" t="n">
        <v>45294</v>
      </c>
      <c r="D44" t="inlineStr">
        <is>
          <t>SKÅNE LÄN</t>
        </is>
      </c>
      <c r="E44" t="inlineStr">
        <is>
          <t>KLIPPAN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29138-2019</t>
        </is>
      </c>
      <c r="B45" s="1" t="n">
        <v>43628</v>
      </c>
      <c r="C45" s="1" t="n">
        <v>45294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29139-2019</t>
        </is>
      </c>
      <c r="B46" s="1" t="n">
        <v>43628</v>
      </c>
      <c r="C46" s="1" t="n">
        <v>45294</v>
      </c>
      <c r="D46" t="inlineStr">
        <is>
          <t>SKÅNE LÄN</t>
        </is>
      </c>
      <c r="E46" t="inlineStr">
        <is>
          <t>KLIPPAN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31669-2019</t>
        </is>
      </c>
      <c r="B47" s="1" t="n">
        <v>43642</v>
      </c>
      <c r="C47" s="1" t="n">
        <v>45294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33285-2019</t>
        </is>
      </c>
      <c r="B48" s="1" t="n">
        <v>43644</v>
      </c>
      <c r="C48" s="1" t="n">
        <v>45294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33889-2019</t>
        </is>
      </c>
      <c r="B49" s="1" t="n">
        <v>43653</v>
      </c>
      <c r="C49" s="1" t="n">
        <v>45294</v>
      </c>
      <c r="D49" t="inlineStr">
        <is>
          <t>SKÅNE LÄN</t>
        </is>
      </c>
      <c r="E49" t="inlineStr">
        <is>
          <t>KLIPPAN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45294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45294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45294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45294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45294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45294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45294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45294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45294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45294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45294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45294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45294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45294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45294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45294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45294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45294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45294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45294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45294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45294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45294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45294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45294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45294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45294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45294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45294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45294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45294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45294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45294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45294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45294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45294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45294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45294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45294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45294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45294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45294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45294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45294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45294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45294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45294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45294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45294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45294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45294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45294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45294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45294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45294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45294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45294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45294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45294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45294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45294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45294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45294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45294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45294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45294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45294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45294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45294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45294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45294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45294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45294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45294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45294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45294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45294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45294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45294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45294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45294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45294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45294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45294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45294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45294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45294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45294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45294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45294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45294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45294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45294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45294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45294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45294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45294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45294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45294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45294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45294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45294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45294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45294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45294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45294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45294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45294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45294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45294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45294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45294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45294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45294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45294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45294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45294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45294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45294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45294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45294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45294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45294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45294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45294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45294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45294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45294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45294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45294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45294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45294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45294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45294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45294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45294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45294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45294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45294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45294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45294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45294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45294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45294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45294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45294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45294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45294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45294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45294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45294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45294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45294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45294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45294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45294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45294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45294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45294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45294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45294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45294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45294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45294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45294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45294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45294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45294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45294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45294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45294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45294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45294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45294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45294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45294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45294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45294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45294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45294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45294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45294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45294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45294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45294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45294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45294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45294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45294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45294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45294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45294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45294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45294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45294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45294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45294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45294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45294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45294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45294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45294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45294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45294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45294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45294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45294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45294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45294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45294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45294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45294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45294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45294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45294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45294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45294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45294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45294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45294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45294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45294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45294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45294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45294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45294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45294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45294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45294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45294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45294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45294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45294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45294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45294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45294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45294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45294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45294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45294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45294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45294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45294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45294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45294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45294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45294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45294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45294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45294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45294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45294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45294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45294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45294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45294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45294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45294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45294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45294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45294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45294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45294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45294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45294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45294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45294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45294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45294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45294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45294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45294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45294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45294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45294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45294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45294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45294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45294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45294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45294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45294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45294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45294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45294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45294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45294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45294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45294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45294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45294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45294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45294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45294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45294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45294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45294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45294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45294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45294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45294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45294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45294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45294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45294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45294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64224-2023</t>
        </is>
      </c>
      <c r="B356" s="1" t="n">
        <v>45279</v>
      </c>
      <c r="C356" s="1" t="n">
        <v>45294</v>
      </c>
      <c r="D356" t="inlineStr">
        <is>
          <t>SKÅNE LÄN</t>
        </is>
      </c>
      <c r="E356" t="inlineStr">
        <is>
          <t>KLIPPAN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64222-2023</t>
        </is>
      </c>
      <c r="B357" s="1" t="n">
        <v>45279</v>
      </c>
      <c r="C357" s="1" t="n">
        <v>45294</v>
      </c>
      <c r="D357" t="inlineStr">
        <is>
          <t>SKÅNE LÄN</t>
        </is>
      </c>
      <c r="E357" t="inlineStr">
        <is>
          <t>KLIPPAN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2024-01-03T10:02:51Z</dcterms:created>
  <dcterms:modified xmlns:dcterms="http://purl.org/dc/terms/" xmlns:xsi="http://www.w3.org/2001/XMLSchema-instance" xsi:type="dcterms:W3CDTF">2024-01-03T10:02:51Z</dcterms:modified>
</cp:coreProperties>
</file>