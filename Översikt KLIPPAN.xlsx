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46283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46283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46283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46283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46283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46283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46283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46283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46283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46283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46283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46283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46283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46283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46283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46283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46283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46283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46283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46283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46283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46283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20702-2023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46283</v>
      </c>
      <c r="F24" t="inlineStr">
        <is>
          <t>SKÅNE LÄN</t>
        </is>
      </c>
      <c r="G24" t="inlineStr">
        <is>
          <t>KLIPPAN</t>
        </is>
      </c>
      <c r="I24" t="n">
        <v>5.9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Svinrot
Grönvit nattviol</t>
        </is>
      </c>
      <c r="W24">
        <f>HYPERLINK("https://klasma.github.io/Logging_1276/artfynd/A 20702-2023 artfynd.xlsx", "A 20702-2023")</f>
        <v/>
      </c>
      <c r="X24">
        <f>HYPERLINK("https://klasma.github.io/Logging_1276/kartor/A 20702-2023 karta.png", "A 20702-2023")</f>
        <v/>
      </c>
      <c r="Y24">
        <f>HYPERLINK("https://klasma.github.io/Logging_1276/kartor_geotiff/A 20702-2023 georefererad karta.tif", "A 20702-2023")</f>
        <v/>
      </c>
      <c r="AA24">
        <f>HYPERLINK("https://klasma.github.io/Logging_1276/klagomål/A 20702-2023 FSC-klagomål.docx", "A 20702-2023")</f>
        <v/>
      </c>
      <c r="AB24">
        <f>HYPERLINK("https://klasma.github.io/Logging_1276/klagomålsmail/A 20702-2023 FSC-klagomål mail.docx", "A 20702-2023")</f>
        <v/>
      </c>
      <c r="AC24">
        <f>HYPERLINK("https://klasma.github.io/Logging_1276/tillsyn/A 20702-2023 tillsynsbegäran.docx", "A 20702-2023")</f>
        <v/>
      </c>
      <c r="AD24">
        <f>HYPERLINK("https://klasma.github.io/Logging_1276/tillsynsmail/A 20702-2023 tillsynsbegäran mail.docx", "A 20702-2023")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46283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46283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A 59769-2025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45992</v>
      </c>
      <c r="E27" s="1" t="n">
        <v>46283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Entita
Kungsfågel</t>
        </is>
      </c>
      <c r="W27">
        <f>HYPERLINK("https://klasma.github.io/Logging_1276/artfynd/A 59769-2025 artfynd.xlsx", "A 59769-2025")</f>
        <v/>
      </c>
      <c r="X27">
        <f>HYPERLINK("https://klasma.github.io/Logging_1276/kartor/A 59769-2025 karta.png", "A 59769-2025")</f>
        <v/>
      </c>
      <c r="Y27">
        <f>HYPERLINK("https://klasma.github.io/Logging_1276/kartor_geotiff/A 59769-2025 georefererad karta.tif", "A 59769-2025")</f>
        <v/>
      </c>
      <c r="AA27">
        <f>HYPERLINK("https://klasma.github.io/Logging_1276/klagomål/A 59769-2025 FSC-klagomål.docx", "A 59769-2025")</f>
        <v/>
      </c>
      <c r="AB27">
        <f>HYPERLINK("https://klasma.github.io/Logging_1276/klagomålsmail/A 59769-2025 FSC-klagomål mail.docx", "A 59769-2025")</f>
        <v/>
      </c>
      <c r="AC27">
        <f>HYPERLINK("https://klasma.github.io/Logging_1276/tillsyn/A 59769-2025 tillsynsbegäran.docx", "A 59769-2025")</f>
        <v/>
      </c>
      <c r="AD27">
        <f>HYPERLINK("https://klasma.github.io/Logging_1276/tillsynsmail/A 59769-2025 tillsynsbegäran mail.docx", "A 59769-2025")</f>
        <v/>
      </c>
      <c r="AE27">
        <f>HYPERLINK("https://klasma.github.io/Logging_1276/fåglar/A 59769-2025 prioriterade fågelarter.docx", "A 59769-2025")</f>
        <v/>
      </c>
    </row>
    <row r="28" ht="15" customHeight="1">
      <c r="A28" t="inlineStr">
        <is>
          <t>A 5797-2024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46283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Gröngöling</t>
        </is>
      </c>
      <c r="W28">
        <f>HYPERLINK("https://klasma.github.io/Logging_1276/artfynd/A 5797-2024 artfynd.xlsx", "A 5797-2024")</f>
        <v/>
      </c>
      <c r="X28">
        <f>HYPERLINK("https://klasma.github.io/Logging_1276/kartor/A 5797-2024 karta.png", "A 5797-2024")</f>
        <v/>
      </c>
      <c r="Y28">
        <f>HYPERLINK("https://klasma.github.io/Logging_1276/kartor_geotiff/A 5797-2024 georefererad karta.tif", "A 5797-2024")</f>
        <v/>
      </c>
      <c r="AA28">
        <f>HYPERLINK("https://klasma.github.io/Logging_1276/klagomål/A 5797-2024 FSC-klagomål.docx", "A 5797-2024")</f>
        <v/>
      </c>
      <c r="AB28">
        <f>HYPERLINK("https://klasma.github.io/Logging_1276/klagomålsmail/A 5797-2024 FSC-klagomål mail.docx", "A 5797-2024")</f>
        <v/>
      </c>
      <c r="AC28">
        <f>HYPERLINK("https://klasma.github.io/Logging_1276/tillsyn/A 5797-2024 tillsynsbegäran.docx", "A 5797-2024")</f>
        <v/>
      </c>
      <c r="AD28">
        <f>HYPERLINK("https://klasma.github.io/Logging_1276/tillsynsmail/A 5797-2024 tillsynsbegäran mail.docx", "A 5797-2024")</f>
        <v/>
      </c>
      <c r="AE28">
        <f>HYPERLINK("https://klasma.github.io/Logging_1276/fåglar/A 5797-2024 prioriterade fågelarter.docx", "A 5797-2024")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46283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46283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46283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46283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46283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46283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46283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46283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46283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46283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46283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46283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46283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A 51276-2024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46283</v>
      </c>
      <c r="F42" t="inlineStr">
        <is>
          <t>SKÅNE LÄN</t>
        </is>
      </c>
      <c r="G42" t="inlineStr">
        <is>
          <t>KLIPPAN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Rutskinn</t>
        </is>
      </c>
      <c r="W42">
        <f>HYPERLINK("https://klasma.github.io/Logging_1276/artfynd/A 51276-2024 artfynd.xlsx", "A 51276-2024")</f>
        <v/>
      </c>
      <c r="X42">
        <f>HYPERLINK("https://klasma.github.io/Logging_1276/kartor/A 51276-2024 karta.png", "A 51276-2024")</f>
        <v/>
      </c>
      <c r="Y42">
        <f>HYPERLINK("https://klasma.github.io/Logging_1276/kartor_geotiff/A 51276-2024 georefererad karta.tif", "A 51276-2024")</f>
        <v/>
      </c>
      <c r="AA42">
        <f>HYPERLINK("https://klasma.github.io/Logging_1276/klagomål/A 51276-2024 FSC-klagomål.docx", "A 51276-2024")</f>
        <v/>
      </c>
      <c r="AB42">
        <f>HYPERLINK("https://klasma.github.io/Logging_1276/klagomålsmail/A 51276-2024 FSC-klagomål mail.docx", "A 51276-2024")</f>
        <v/>
      </c>
      <c r="AC42">
        <f>HYPERLINK("https://klasma.github.io/Logging_1276/tillsyn/A 51276-2024 tillsynsbegäran.docx", "A 51276-2024")</f>
        <v/>
      </c>
      <c r="AD42">
        <f>HYPERLINK("https://klasma.github.io/Logging_1276/tillsynsmail/A 51276-2024 tillsynsbegäran mail.docx", "A 51276-2024")</f>
        <v/>
      </c>
    </row>
    <row r="43" ht="15" customHeight="1">
      <c r="A43" t="inlineStr">
        <is>
          <t>S 2025-2022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44665</v>
      </c>
      <c r="E43" s="1" t="n">
        <v>46283</v>
      </c>
      <c r="F43" t="inlineStr">
        <is>
          <t>SKÅNE LÄN</t>
        </is>
      </c>
      <c r="G43" t="inlineStr">
        <is>
          <t>KLIPPAN</t>
        </is>
      </c>
      <c r="I43" t="n">
        <v>13.5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HYPERLINK("https://klasma.github.io/Logging_1276/artfynd/S 2025-2022 artfynd.xlsx", "S 2025-2022")</f>
        <v/>
      </c>
      <c r="X43">
        <f>HYPERLINK("https://klasma.github.io/Logging_1276/kartor/S 2025-2022 karta.png", "S 2025-2022")</f>
        <v/>
      </c>
      <c r="Y43">
        <f>HYPERLINK("https://klasma.github.io/Logging_1276/kartor_geotiff/S 2025-2022 georefererad karta.tif", "S 2025-2022")</f>
        <v/>
      </c>
      <c r="AA43">
        <f>HYPERLINK("https://klasma.github.io/Logging_1276/klagomål/S 2025-2022 FSC-klagomål.docx", "S 2025-2022")</f>
        <v/>
      </c>
      <c r="AB43">
        <f>HYPERLINK("https://klasma.github.io/Logging_1276/klagomålsmail/S 2025-2022 FSC-klagomål mail.docx", "S 2025-2022")</f>
        <v/>
      </c>
      <c r="AC43">
        <f>HYPERLINK("https://klasma.github.io/Logging_1276/tillsyn/S 2025-2022 tillsynsbegäran.docx", "S 2025-2022")</f>
        <v/>
      </c>
      <c r="AD43">
        <f>HYPERLINK("https://klasma.github.io/Logging_1276/tillsynsmail/S 2025-2022 tillsynsbegäran mail.docx", "S 2025-2022")</f>
        <v/>
      </c>
    </row>
    <row r="44" ht="15" customHeight="1">
      <c r="A44" t="inlineStr">
        <is>
          <t>S 841-2023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44992</v>
      </c>
      <c r="E44" s="1" t="n">
        <v>46283</v>
      </c>
      <c r="F44" t="inlineStr">
        <is>
          <t>SKÅNE LÄN</t>
        </is>
      </c>
      <c r="G44" t="inlineStr">
        <is>
          <t>KLIPPAN</t>
        </is>
      </c>
      <c r="I44" t="n">
        <v>23.9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HYPERLINK("https://klasma.github.io/Logging_1276/artfynd/S 841-2023 artfynd.xlsx", "S 841-2023")</f>
        <v/>
      </c>
      <c r="X44">
        <f>HYPERLINK("https://klasma.github.io/Logging_1276/kartor/S 841-2023 karta.png", "S 841-2023")</f>
        <v/>
      </c>
      <c r="Y44">
        <f>HYPERLINK("https://klasma.github.io/Logging_1276/kartor_geotiff/S 841-2023 georefererad karta.tif", "S 841-2023")</f>
        <v/>
      </c>
      <c r="AA44">
        <f>HYPERLINK("https://klasma.github.io/Logging_1276/klagomål/S 841-2023 FSC-klagomål.docx", "S 841-2023")</f>
        <v/>
      </c>
      <c r="AB44">
        <f>HYPERLINK("https://klasma.github.io/Logging_1276/klagomålsmail/S 841-2023 FSC-klagomål mail.docx", "S 841-2023")</f>
        <v/>
      </c>
      <c r="AC44">
        <f>HYPERLINK("https://klasma.github.io/Logging_1276/tillsyn/S 841-2023 tillsynsbegäran.docx", "S 841-2023")</f>
        <v/>
      </c>
      <c r="AD44">
        <f>HYPERLINK("https://klasma.github.io/Logging_1276/tillsynsmail/S 841-2023 tillsynsbegäran mail.docx", "S 841-2023")</f>
        <v/>
      </c>
    </row>
    <row r="45" ht="15" customHeight="1">
      <c r="A45" t="inlineStr">
        <is>
          <t>S 3667-2023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45217</v>
      </c>
      <c r="E45" s="1" t="n">
        <v>46283</v>
      </c>
      <c r="F45" t="inlineStr">
        <is>
          <t>SKÅNE LÄN</t>
        </is>
      </c>
      <c r="G45" t="inlineStr">
        <is>
          <t>KLIPPAN</t>
        </is>
      </c>
      <c r="I45" t="n">
        <v>186.4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HYPERLINK("https://klasma.github.io/Logging_1276/artfynd/S 3667-2023 artfynd.xlsx", "S 3667-2023")</f>
        <v/>
      </c>
      <c r="X45">
        <f>HYPERLINK("https://klasma.github.io/Logging_1276/kartor/S 3667-2023 karta.png", "S 3667-2023")</f>
        <v/>
      </c>
      <c r="Y45">
        <f>HYPERLINK("https://klasma.github.io/Logging_1276/kartor_geotiff/S 3667-2023 georefererad karta.tif", "S 3667-2023")</f>
        <v/>
      </c>
      <c r="AA45">
        <f>HYPERLINK("https://klasma.github.io/Logging_1276/klagomål/S 3667-2023 FSC-klagomål.docx", "S 3667-2023")</f>
        <v/>
      </c>
      <c r="AB45">
        <f>HYPERLINK("https://klasma.github.io/Logging_1276/klagomålsmail/S 3667-2023 FSC-klagomål mail.docx", "S 3667-2023")</f>
        <v/>
      </c>
      <c r="AC45">
        <f>HYPERLINK("https://klasma.github.io/Logging_1276/tillsyn/S 3667-2023 tillsynsbegäran.docx", "S 3667-2023")</f>
        <v/>
      </c>
      <c r="AD45">
        <f>HYPERLINK("https://klasma.github.io/Logging_1276/tillsynsmail/S 3667-2023 tillsynsbegäran mail.docx", "S 3667-2023")</f>
        <v/>
      </c>
    </row>
    <row r="46" ht="15" customHeight="1">
      <c r="A46" t="inlineStr">
        <is>
          <t>S 5988-2022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44859</v>
      </c>
      <c r="E46" s="1" t="n">
        <v>46283</v>
      </c>
      <c r="F46" t="inlineStr">
        <is>
          <t>SKÅNE LÄN</t>
        </is>
      </c>
      <c r="G46" t="inlineStr">
        <is>
          <t>KLIPPAN</t>
        </is>
      </c>
      <c r="I46" t="n">
        <v>27.8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HYPERLINK("https://klasma.github.io/Logging_1276/artfynd/S 5988-2022 artfynd.xlsx", "S 5988-2022")</f>
        <v/>
      </c>
      <c r="X46">
        <f>HYPERLINK("https://klasma.github.io/Logging_1276/kartor/S 5988-2022 karta.png", "S 5988-2022")</f>
        <v/>
      </c>
      <c r="Y46">
        <f>HYPERLINK("https://klasma.github.io/Logging_1276/kartor_geotiff/S 5988-2022 georefererad karta.tif", "S 5988-2022")</f>
        <v/>
      </c>
      <c r="AA46">
        <f>HYPERLINK("https://klasma.github.io/Logging_1276/klagomål/S 5988-2022 FSC-klagomål.docx", "S 5988-2022")</f>
        <v/>
      </c>
      <c r="AB46">
        <f>HYPERLINK("https://klasma.github.io/Logging_1276/klagomålsmail/S 5988-2022 FSC-klagomål mail.docx", "S 5988-2022")</f>
        <v/>
      </c>
      <c r="AC46">
        <f>HYPERLINK("https://klasma.github.io/Logging_1276/tillsyn/S 5988-2022 tillsynsbegäran.docx", "S 5988-2022")</f>
        <v/>
      </c>
      <c r="AD46">
        <f>HYPERLINK("https://klasma.github.io/Logging_1276/tillsynsmail/S 5988-2022 tillsynsbegäran mail.docx", "S 5988-2022")</f>
        <v/>
      </c>
    </row>
    <row r="47" ht="15" customHeight="1">
      <c r="A47" t="inlineStr">
        <is>
          <t>A 55629-2022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46283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46283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46283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46283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19097-2022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46283</v>
      </c>
      <c r="F51" t="inlineStr">
        <is>
          <t>SKÅNE LÄN</t>
        </is>
      </c>
      <c r="G51" t="inlineStr">
        <is>
          <t>KLIPPAN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46283</v>
      </c>
      <c r="F52" t="inlineStr">
        <is>
          <t>SKÅNE LÄN</t>
        </is>
      </c>
      <c r="G52" t="inlineStr">
        <is>
          <t>KLIPPAN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46283</v>
      </c>
      <c r="F53" t="inlineStr">
        <is>
          <t>SKÅNE LÄN</t>
        </is>
      </c>
      <c r="G53" t="inlineStr">
        <is>
          <t>KLIPPAN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69392-2021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46283</v>
      </c>
      <c r="F54" t="inlineStr">
        <is>
          <t>SKÅNE LÄN</t>
        </is>
      </c>
      <c r="G54" t="inlineStr">
        <is>
          <t>KLIPPAN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46283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46283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46283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46283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46283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46283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46283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46283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46283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46283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46283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46283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46283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46283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46283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46283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46283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46283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46283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46283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46283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46283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46283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46283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46283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46283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46283</v>
      </c>
      <c r="F81" t="inlineStr">
        <is>
          <t>SKÅNE LÄN</t>
        </is>
      </c>
      <c r="G81" t="inlineStr">
        <is>
          <t>KLIPPAN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46283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45641-2022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44845</v>
      </c>
      <c r="E83" s="1" t="n">
        <v>46283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46283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46283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45739</v>
      </c>
      <c r="E86" s="1" t="n">
        <v>46283</v>
      </c>
      <c r="F86" t="inlineStr">
        <is>
          <t>SKÅNE LÄN</t>
        </is>
      </c>
      <c r="G86" t="inlineStr">
        <is>
          <t>KLIPPAN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46283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46283</v>
      </c>
      <c r="F88" t="inlineStr">
        <is>
          <t>SKÅNE LÄN</t>
        </is>
      </c>
      <c r="G88" t="inlineStr">
        <is>
          <t>KLIPPAN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46283</v>
      </c>
      <c r="F89" t="inlineStr">
        <is>
          <t>SKÅNE LÄN</t>
        </is>
      </c>
      <c r="G89" t="inlineStr">
        <is>
          <t>KLIPPAN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44901</v>
      </c>
      <c r="E90" s="1" t="n">
        <v>46283</v>
      </c>
      <c r="F90" t="inlineStr">
        <is>
          <t>SKÅNE LÄN</t>
        </is>
      </c>
      <c r="G90" t="inlineStr">
        <is>
          <t>KLIPPAN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45094</v>
      </c>
      <c r="E91" s="1" t="n">
        <v>46283</v>
      </c>
      <c r="F91" t="inlineStr">
        <is>
          <t>SKÅNE LÄN</t>
        </is>
      </c>
      <c r="G91" t="inlineStr">
        <is>
          <t>KLIPPAN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46283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46283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46283</v>
      </c>
      <c r="F94" t="inlineStr">
        <is>
          <t>SKÅNE LÄN</t>
        </is>
      </c>
      <c r="G94" t="inlineStr">
        <is>
          <t>KLIPPAN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46071</v>
      </c>
      <c r="E95" s="1" t="n">
        <v>46283</v>
      </c>
      <c r="F95" t="inlineStr">
        <is>
          <t>SKÅNE LÄN</t>
        </is>
      </c>
      <c r="G95" t="inlineStr">
        <is>
          <t>KLIPPAN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46283</v>
      </c>
      <c r="F96" t="inlineStr">
        <is>
          <t>SKÅNE LÄN</t>
        </is>
      </c>
      <c r="G96" t="inlineStr">
        <is>
          <t>KLIPPAN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29284-2025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45824</v>
      </c>
      <c r="E97" s="1" t="n">
        <v>46283</v>
      </c>
      <c r="F97" t="inlineStr">
        <is>
          <t>SKÅNE LÄN</t>
        </is>
      </c>
      <c r="G97" t="inlineStr">
        <is>
          <t>KLIPPAN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14614-2023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45013</v>
      </c>
      <c r="E98" s="1" t="n">
        <v>46283</v>
      </c>
      <c r="F98" t="inlineStr">
        <is>
          <t>SKÅNE LÄN</t>
        </is>
      </c>
      <c r="G98" t="inlineStr">
        <is>
          <t>KLIPPAN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46283</v>
      </c>
      <c r="F99" t="inlineStr">
        <is>
          <t>SKÅNE LÄN</t>
        </is>
      </c>
      <c r="G99" t="inlineStr">
        <is>
          <t>KLIPPAN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45055</v>
      </c>
      <c r="E100" s="1" t="n">
        <v>46283</v>
      </c>
      <c r="F100" t="inlineStr">
        <is>
          <t>SKÅNE LÄN</t>
        </is>
      </c>
      <c r="G100" t="inlineStr">
        <is>
          <t>KLIPPAN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46283</v>
      </c>
      <c r="F101" t="inlineStr">
        <is>
          <t>SKÅNE LÄN</t>
        </is>
      </c>
      <c r="G101" t="inlineStr">
        <is>
          <t>KLIPPAN</t>
        </is>
      </c>
      <c r="I101" t="n">
        <v>9.699999999999999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45260</v>
      </c>
      <c r="E102" s="1" t="n">
        <v>46283</v>
      </c>
      <c r="F102" t="inlineStr">
        <is>
          <t>SKÅNE LÄN</t>
        </is>
      </c>
      <c r="G102" t="inlineStr">
        <is>
          <t>KLIPPAN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46283</v>
      </c>
      <c r="F103" t="inlineStr">
        <is>
          <t>SKÅNE LÄN</t>
        </is>
      </c>
      <c r="G103" t="inlineStr">
        <is>
          <t>KLIPPAN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46283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60791-2023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45260</v>
      </c>
      <c r="E105" s="1" t="n">
        <v>46283</v>
      </c>
      <c r="F105" t="inlineStr">
        <is>
          <t>SKÅNE LÄN</t>
        </is>
      </c>
      <c r="G105" t="inlineStr">
        <is>
          <t>KLIPPAN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46283</v>
      </c>
      <c r="F106" t="inlineStr">
        <is>
          <t>SKÅNE LÄN</t>
        </is>
      </c>
      <c r="G106" t="inlineStr">
        <is>
          <t>KLIPPAN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46283</v>
      </c>
      <c r="F107" t="inlineStr">
        <is>
          <t>SKÅNE LÄN</t>
        </is>
      </c>
      <c r="G107" t="inlineStr">
        <is>
          <t>KLIPPAN</t>
        </is>
      </c>
      <c r="H107" t="inlineStr">
        <is>
          <t>Övriga Aktiebolag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46283</v>
      </c>
      <c r="F108" t="inlineStr">
        <is>
          <t>SKÅNE LÄN</t>
        </is>
      </c>
      <c r="G108" t="inlineStr">
        <is>
          <t>KLIPPAN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46283</v>
      </c>
      <c r="F109" t="inlineStr">
        <is>
          <t>SKÅNE LÄN</t>
        </is>
      </c>
      <c r="G109" t="inlineStr">
        <is>
          <t>KLIPPAN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46283</v>
      </c>
      <c r="F110" t="inlineStr">
        <is>
          <t>SKÅNE LÄN</t>
        </is>
      </c>
      <c r="G110" t="inlineStr">
        <is>
          <t>KLIPPAN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45055</v>
      </c>
      <c r="E111" s="1" t="n">
        <v>46283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46283</v>
      </c>
      <c r="F112" t="inlineStr">
        <is>
          <t>SKÅNE LÄN</t>
        </is>
      </c>
      <c r="G112" t="inlineStr">
        <is>
          <t>KLIPPAN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45474</v>
      </c>
      <c r="E113" s="1" t="n">
        <v>46283</v>
      </c>
      <c r="F113" t="inlineStr">
        <is>
          <t>SKÅNE LÄN</t>
        </is>
      </c>
      <c r="G113" t="inlineStr">
        <is>
          <t>KLIPPAN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46283</v>
      </c>
      <c r="F114" t="inlineStr">
        <is>
          <t>SKÅNE LÄN</t>
        </is>
      </c>
      <c r="G114" t="inlineStr">
        <is>
          <t>KLIPPAN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46283</v>
      </c>
      <c r="F115" t="inlineStr">
        <is>
          <t>SKÅNE LÄN</t>
        </is>
      </c>
      <c r="G115" t="inlineStr">
        <is>
          <t>KLIPPAN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46283</v>
      </c>
      <c r="F116" t="inlineStr">
        <is>
          <t>SKÅNE LÄN</t>
        </is>
      </c>
      <c r="G116" t="inlineStr">
        <is>
          <t>KLIPPAN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45583</v>
      </c>
      <c r="E117" s="1" t="n">
        <v>46283</v>
      </c>
      <c r="F117" t="inlineStr">
        <is>
          <t>SKÅNE LÄN</t>
        </is>
      </c>
      <c r="G117" t="inlineStr">
        <is>
          <t>KLIPPAN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46283</v>
      </c>
      <c r="F118" t="inlineStr">
        <is>
          <t>SKÅNE LÄN</t>
        </is>
      </c>
      <c r="G118" t="inlineStr">
        <is>
          <t>KLIPPAN</t>
        </is>
      </c>
      <c r="H118" t="inlineStr">
        <is>
          <t>Övriga Aktiebolag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46283</v>
      </c>
      <c r="F119" t="inlineStr">
        <is>
          <t>SKÅNE LÄN</t>
        </is>
      </c>
      <c r="G119" t="inlineStr">
        <is>
          <t>KLIPPAN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46283</v>
      </c>
      <c r="F120" t="inlineStr">
        <is>
          <t>SKÅNE LÄN</t>
        </is>
      </c>
      <c r="G120" t="inlineStr">
        <is>
          <t>KLIPPAN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45013</v>
      </c>
      <c r="E121" s="1" t="n">
        <v>46283</v>
      </c>
      <c r="F121" t="inlineStr">
        <is>
          <t>SKÅNE LÄN</t>
        </is>
      </c>
      <c r="G121" t="inlineStr">
        <is>
          <t>KLIPPAN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46283</v>
      </c>
      <c r="F122" t="inlineStr">
        <is>
          <t>SKÅNE LÄN</t>
        </is>
      </c>
      <c r="G122" t="inlineStr">
        <is>
          <t>KLIPPAN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46283</v>
      </c>
      <c r="F123" t="inlineStr">
        <is>
          <t>SKÅNE LÄN</t>
        </is>
      </c>
      <c r="G123" t="inlineStr">
        <is>
          <t>KLIPPAN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46283</v>
      </c>
      <c r="F124" t="inlineStr">
        <is>
          <t>SKÅNE LÄN</t>
        </is>
      </c>
      <c r="G124" t="inlineStr">
        <is>
          <t>KLIPPAN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46283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69041-2021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44529</v>
      </c>
      <c r="E126" s="1" t="n">
        <v>46283</v>
      </c>
      <c r="F126" t="inlineStr">
        <is>
          <t>SKÅNE LÄN</t>
        </is>
      </c>
      <c r="G126" t="inlineStr">
        <is>
          <t>KLIPPAN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45077</v>
      </c>
      <c r="E127" s="1" t="n">
        <v>46283</v>
      </c>
      <c r="F127" t="inlineStr">
        <is>
          <t>SKÅNE LÄN</t>
        </is>
      </c>
      <c r="G127" t="inlineStr">
        <is>
          <t>KLIPPAN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46283</v>
      </c>
      <c r="F128" t="inlineStr">
        <is>
          <t>SKÅNE LÄN</t>
        </is>
      </c>
      <c r="G128" t="inlineStr">
        <is>
          <t>KLIPPAN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46283</v>
      </c>
      <c r="F129" t="inlineStr">
        <is>
          <t>SKÅNE LÄN</t>
        </is>
      </c>
      <c r="G129" t="inlineStr">
        <is>
          <t>KLIPPAN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46283</v>
      </c>
      <c r="F130" t="inlineStr">
        <is>
          <t>SKÅNE LÄN</t>
        </is>
      </c>
      <c r="G130" t="inlineStr">
        <is>
          <t>KLIPPAN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44930</v>
      </c>
      <c r="E131" s="1" t="n">
        <v>46283</v>
      </c>
      <c r="F131" t="inlineStr">
        <is>
          <t>SKÅNE LÄN</t>
        </is>
      </c>
      <c r="G131" t="inlineStr">
        <is>
          <t>KLIPPAN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45055</v>
      </c>
      <c r="E132" s="1" t="n">
        <v>46283</v>
      </c>
      <c r="F132" t="inlineStr">
        <is>
          <t>SKÅNE LÄN</t>
        </is>
      </c>
      <c r="G132" t="inlineStr">
        <is>
          <t>KLIPPAN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55588-2021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46283</v>
      </c>
      <c r="F133" t="inlineStr">
        <is>
          <t>SKÅNE LÄN</t>
        </is>
      </c>
      <c r="G133" t="inlineStr">
        <is>
          <t>KLIPPAN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46283</v>
      </c>
      <c r="F134" t="inlineStr">
        <is>
          <t>SKÅNE LÄN</t>
        </is>
      </c>
      <c r="G134" t="inlineStr">
        <is>
          <t>KLIPPAN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46283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45588</v>
      </c>
      <c r="E136" s="1" t="n">
        <v>46283</v>
      </c>
      <c r="F136" t="inlineStr">
        <is>
          <t>SKÅNE LÄN</t>
        </is>
      </c>
      <c r="G136" t="inlineStr">
        <is>
          <t>KLIPPAN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46283</v>
      </c>
      <c r="F137" t="inlineStr">
        <is>
          <t>SKÅNE LÄN</t>
        </is>
      </c>
      <c r="G137" t="inlineStr">
        <is>
          <t>KLIPPAN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21778-2026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46283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46283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46283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46283</v>
      </c>
      <c r="F141" t="inlineStr">
        <is>
          <t>SKÅNE LÄN</t>
        </is>
      </c>
      <c r="G141" t="inlineStr">
        <is>
          <t>KLIPPAN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46149</v>
      </c>
      <c r="E142" s="1" t="n">
        <v>46283</v>
      </c>
      <c r="F142" t="inlineStr">
        <is>
          <t>SKÅNE LÄN</t>
        </is>
      </c>
      <c r="G142" t="inlineStr">
        <is>
          <t>KLIPPAN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46283</v>
      </c>
      <c r="F143" t="inlineStr">
        <is>
          <t>SKÅNE LÄN</t>
        </is>
      </c>
      <c r="G143" t="inlineStr">
        <is>
          <t>KLIPPAN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46283</v>
      </c>
      <c r="F144" t="inlineStr">
        <is>
          <t>SKÅNE LÄN</t>
        </is>
      </c>
      <c r="G144" t="inlineStr">
        <is>
          <t>KLIPPAN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46283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46283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46283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46283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46283</v>
      </c>
      <c r="F149" t="inlineStr">
        <is>
          <t>SKÅNE LÄN</t>
        </is>
      </c>
      <c r="G149" t="inlineStr">
        <is>
          <t>KLIPPAN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58642-2021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44489</v>
      </c>
      <c r="E150" s="1" t="n">
        <v>46283</v>
      </c>
      <c r="F150" t="inlineStr">
        <is>
          <t>SKÅNE LÄN</t>
        </is>
      </c>
      <c r="G150" t="inlineStr">
        <is>
          <t>KLIPPAN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45275</v>
      </c>
      <c r="E151" s="1" t="n">
        <v>46283</v>
      </c>
      <c r="F151" t="inlineStr">
        <is>
          <t>SKÅNE LÄN</t>
        </is>
      </c>
      <c r="G151" t="inlineStr">
        <is>
          <t>KLIPPAN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44992</v>
      </c>
      <c r="E152" s="1" t="n">
        <v>46283</v>
      </c>
      <c r="F152" t="inlineStr">
        <is>
          <t>SKÅNE LÄN</t>
        </is>
      </c>
      <c r="G152" t="inlineStr">
        <is>
          <t>KLIPPAN</t>
        </is>
      </c>
      <c r="H152" t="inlineStr">
        <is>
          <t>Övriga Aktiebolag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46283</v>
      </c>
      <c r="F153" t="inlineStr">
        <is>
          <t>SKÅNE LÄN</t>
        </is>
      </c>
      <c r="G153" t="inlineStr">
        <is>
          <t>KLIPPAN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46283</v>
      </c>
      <c r="F154" t="inlineStr">
        <is>
          <t>SKÅNE LÄN</t>
        </is>
      </c>
      <c r="G154" t="inlineStr">
        <is>
          <t>KLIPPAN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46283</v>
      </c>
      <c r="F155" t="inlineStr">
        <is>
          <t>SKÅNE LÄN</t>
        </is>
      </c>
      <c r="G155" t="inlineStr">
        <is>
          <t>KLIPPAN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44944</v>
      </c>
      <c r="E156" s="1" t="n">
        <v>46283</v>
      </c>
      <c r="F156" t="inlineStr">
        <is>
          <t>SKÅNE LÄN</t>
        </is>
      </c>
      <c r="G156" t="inlineStr">
        <is>
          <t>KLIPPAN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46283</v>
      </c>
      <c r="F157" t="inlineStr">
        <is>
          <t>SKÅNE LÄN</t>
        </is>
      </c>
      <c r="G157" t="inlineStr">
        <is>
          <t>KLIPPAN</t>
        </is>
      </c>
      <c r="H157" t="inlineStr">
        <is>
          <t>Övriga Aktiebolag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45706</v>
      </c>
      <c r="E158" s="1" t="n">
        <v>46283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46283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45673</v>
      </c>
      <c r="E160" s="1" t="n">
        <v>46283</v>
      </c>
      <c r="F160" t="inlineStr">
        <is>
          <t>SKÅNE LÄN</t>
        </is>
      </c>
      <c r="G160" t="inlineStr">
        <is>
          <t>KLIPPAN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46283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46283</v>
      </c>
      <c r="F162" t="inlineStr">
        <is>
          <t>SKÅNE LÄN</t>
        </is>
      </c>
      <c r="G162" t="inlineStr">
        <is>
          <t>KLIPPAN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46283</v>
      </c>
      <c r="F163" t="inlineStr">
        <is>
          <t>SKÅNE LÄN</t>
        </is>
      </c>
      <c r="G163" t="inlineStr">
        <is>
          <t>KLIPPAN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46283</v>
      </c>
      <c r="F164" t="inlineStr">
        <is>
          <t>SKÅNE LÄN</t>
        </is>
      </c>
      <c r="G164" t="inlineStr">
        <is>
          <t>KLIPPAN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44825</v>
      </c>
      <c r="E165" s="1" t="n">
        <v>46283</v>
      </c>
      <c r="F165" t="inlineStr">
        <is>
          <t>SKÅNE LÄN</t>
        </is>
      </c>
      <c r="G165" t="inlineStr">
        <is>
          <t>KLIPPAN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6447-2026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46283</v>
      </c>
      <c r="F166" t="inlineStr">
        <is>
          <t>SKÅNE LÄN</t>
        </is>
      </c>
      <c r="G166" t="inlineStr">
        <is>
          <t>KLIPPAN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44616</v>
      </c>
      <c r="E167" s="1" t="n">
        <v>46283</v>
      </c>
      <c r="F167" t="inlineStr">
        <is>
          <t>SKÅNE LÄN</t>
        </is>
      </c>
      <c r="G167" t="inlineStr">
        <is>
          <t>KLIPPAN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46283</v>
      </c>
      <c r="F168" t="inlineStr">
        <is>
          <t>SKÅNE LÄN</t>
        </is>
      </c>
      <c r="G168" t="inlineStr">
        <is>
          <t>KLIPPAN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51844-2023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45223</v>
      </c>
      <c r="E169" s="1" t="n">
        <v>46283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45199</v>
      </c>
      <c r="E170" s="1" t="n">
        <v>46283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45104</v>
      </c>
      <c r="E171" s="1" t="n">
        <v>46283</v>
      </c>
      <c r="F171" t="inlineStr">
        <is>
          <t>SKÅNE LÄN</t>
        </is>
      </c>
      <c r="G171" t="inlineStr">
        <is>
          <t>KLIPPAN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46283</v>
      </c>
      <c r="F172" t="inlineStr">
        <is>
          <t>SKÅNE LÄN</t>
        </is>
      </c>
      <c r="G172" t="inlineStr">
        <is>
          <t>KLIPPAN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46283</v>
      </c>
      <c r="F173" t="inlineStr">
        <is>
          <t>SKÅNE LÄN</t>
        </is>
      </c>
      <c r="G173" t="inlineStr">
        <is>
          <t>KLIPPAN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46283</v>
      </c>
      <c r="F174" t="inlineStr">
        <is>
          <t>SKÅNE LÄN</t>
        </is>
      </c>
      <c r="G174" t="inlineStr">
        <is>
          <t>KLIPPAN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46283</v>
      </c>
      <c r="F175" t="inlineStr">
        <is>
          <t>SKÅNE LÄN</t>
        </is>
      </c>
      <c r="G175" t="inlineStr">
        <is>
          <t>KLIPPAN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46283</v>
      </c>
      <c r="F176" t="inlineStr">
        <is>
          <t>SKÅNE LÄN</t>
        </is>
      </c>
      <c r="G176" t="inlineStr">
        <is>
          <t>KLIPPAN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46283</v>
      </c>
      <c r="F177" t="inlineStr">
        <is>
          <t>SKÅNE LÄN</t>
        </is>
      </c>
      <c r="G177" t="inlineStr">
        <is>
          <t>KLIPPAN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46283</v>
      </c>
      <c r="F178" t="inlineStr">
        <is>
          <t>SKÅNE LÄN</t>
        </is>
      </c>
      <c r="G178" t="inlineStr">
        <is>
          <t>KLIPPAN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33181-2026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46245</v>
      </c>
      <c r="E179" s="1" t="n">
        <v>46283</v>
      </c>
      <c r="F179" t="inlineStr">
        <is>
          <t>SKÅNE LÄN</t>
        </is>
      </c>
      <c r="G179" t="inlineStr">
        <is>
          <t>KLIPPAN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45981</v>
      </c>
      <c r="E180" s="1" t="n">
        <v>46283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46283</v>
      </c>
      <c r="F181" t="inlineStr">
        <is>
          <t>SKÅNE LÄN</t>
        </is>
      </c>
      <c r="G181" t="inlineStr">
        <is>
          <t>KLIPPAN</t>
        </is>
      </c>
      <c r="I181" t="n">
        <v>17.2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46283</v>
      </c>
      <c r="F182" t="inlineStr">
        <is>
          <t>SKÅNE LÄN</t>
        </is>
      </c>
      <c r="G182" t="inlineStr">
        <is>
          <t>KLIPPAN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46283</v>
      </c>
      <c r="F183" t="inlineStr">
        <is>
          <t>SKÅNE LÄN</t>
        </is>
      </c>
      <c r="G183" t="inlineStr">
        <is>
          <t>KLIPPAN</t>
        </is>
      </c>
      <c r="H183" t="inlineStr">
        <is>
          <t>Övriga Aktiebolag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45660</v>
      </c>
      <c r="E184" s="1" t="n">
        <v>46283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46283</v>
      </c>
      <c r="F185" t="inlineStr">
        <is>
          <t>SKÅNE LÄN</t>
        </is>
      </c>
      <c r="G185" t="inlineStr">
        <is>
          <t>KLIPPAN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30215-2026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46206</v>
      </c>
      <c r="E186" s="1" t="n">
        <v>46283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46283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46728-2023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45198</v>
      </c>
      <c r="E188" s="1" t="n">
        <v>46283</v>
      </c>
      <c r="F188" t="inlineStr">
        <is>
          <t>SKÅNE LÄN</t>
        </is>
      </c>
      <c r="G188" t="inlineStr">
        <is>
          <t>KLIPPAN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46283</v>
      </c>
      <c r="F189" t="inlineStr">
        <is>
          <t>SKÅNE LÄN</t>
        </is>
      </c>
      <c r="G189" t="inlineStr">
        <is>
          <t>KLIPPAN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46283</v>
      </c>
      <c r="F190" t="inlineStr">
        <is>
          <t>SKÅNE LÄN</t>
        </is>
      </c>
      <c r="G190" t="inlineStr">
        <is>
          <t>KLIPPAN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46283</v>
      </c>
      <c r="F191" t="inlineStr">
        <is>
          <t>SKÅNE LÄN</t>
        </is>
      </c>
      <c r="G191" t="inlineStr">
        <is>
          <t>KLIPPAN</t>
        </is>
      </c>
      <c r="H191" t="inlineStr">
        <is>
          <t>Övriga Aktiebolag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46283</v>
      </c>
      <c r="F192" t="inlineStr">
        <is>
          <t>SKÅNE LÄN</t>
        </is>
      </c>
      <c r="G192" t="inlineStr">
        <is>
          <t>KLIPPAN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44726</v>
      </c>
      <c r="E193" s="1" t="n">
        <v>46283</v>
      </c>
      <c r="F193" t="inlineStr">
        <is>
          <t>SKÅNE LÄN</t>
        </is>
      </c>
      <c r="G193" t="inlineStr">
        <is>
          <t>KLIPPAN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46283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46283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46283</v>
      </c>
      <c r="F196" t="inlineStr">
        <is>
          <t>SKÅNE LÄN</t>
        </is>
      </c>
      <c r="G196" t="inlineStr">
        <is>
          <t>KLIPPAN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46283</v>
      </c>
      <c r="F197" t="inlineStr">
        <is>
          <t>SKÅNE LÄN</t>
        </is>
      </c>
      <c r="G197" t="inlineStr">
        <is>
          <t>KLIPPAN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37068-2023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46283</v>
      </c>
      <c r="F198" t="inlineStr">
        <is>
          <t>SKÅNE LÄN</t>
        </is>
      </c>
      <c r="G198" t="inlineStr">
        <is>
          <t>KLIPPAN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46283</v>
      </c>
      <c r="F199" t="inlineStr">
        <is>
          <t>SKÅNE LÄN</t>
        </is>
      </c>
      <c r="G199" t="inlineStr">
        <is>
          <t>KLIPPAN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23341-2026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46283</v>
      </c>
      <c r="F200" t="inlineStr">
        <is>
          <t>SKÅNE LÄN</t>
        </is>
      </c>
      <c r="G200" t="inlineStr">
        <is>
          <t>KLIPPAN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46216</v>
      </c>
      <c r="E201" s="1" t="n">
        <v>46283</v>
      </c>
      <c r="F201" t="inlineStr">
        <is>
          <t>SKÅNE LÄN</t>
        </is>
      </c>
      <c r="G201" t="inlineStr">
        <is>
          <t>KLIPPAN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46216</v>
      </c>
      <c r="E202" s="1" t="n">
        <v>46283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46216</v>
      </c>
      <c r="E203" s="1" t="n">
        <v>46283</v>
      </c>
      <c r="F203" t="inlineStr">
        <is>
          <t>SKÅNE LÄN</t>
        </is>
      </c>
      <c r="G203" t="inlineStr">
        <is>
          <t>KLIPPAN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46283</v>
      </c>
      <c r="F204" t="inlineStr">
        <is>
          <t>SKÅNE LÄN</t>
        </is>
      </c>
      <c r="G204" t="inlineStr">
        <is>
          <t>KLIPPAN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46283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46283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46283</v>
      </c>
      <c r="F207" t="inlineStr">
        <is>
          <t>SKÅNE LÄN</t>
        </is>
      </c>
      <c r="G207" t="inlineStr">
        <is>
          <t>KLIPPAN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46283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46283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46265</v>
      </c>
      <c r="E210" s="1" t="n">
        <v>46283</v>
      </c>
      <c r="F210" t="inlineStr">
        <is>
          <t>SKÅNE LÄN</t>
        </is>
      </c>
      <c r="G210" t="inlineStr">
        <is>
          <t>KLIPPAN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46283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45098</v>
      </c>
      <c r="E212" s="1" t="n">
        <v>46283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46283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46269</v>
      </c>
      <c r="E214" s="1" t="n">
        <v>46283</v>
      </c>
      <c r="F214" t="inlineStr">
        <is>
          <t>SKÅNE LÄN</t>
        </is>
      </c>
      <c r="G214" t="inlineStr">
        <is>
          <t>KLIPPAN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36480-2026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46269</v>
      </c>
      <c r="E215" s="1" t="n">
        <v>46283</v>
      </c>
      <c r="F215" t="inlineStr">
        <is>
          <t>SKÅNE LÄN</t>
        </is>
      </c>
      <c r="G215" t="inlineStr">
        <is>
          <t>KLIPPAN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46283</v>
      </c>
      <c r="F216" t="inlineStr">
        <is>
          <t>SKÅNE LÄN</t>
        </is>
      </c>
      <c r="G216" t="inlineStr">
        <is>
          <t>KLIPPAN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46283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44880</v>
      </c>
      <c r="E218" s="1" t="n">
        <v>46283</v>
      </c>
      <c r="F218" t="inlineStr">
        <is>
          <t>SKÅNE LÄN</t>
        </is>
      </c>
      <c r="G218" t="inlineStr">
        <is>
          <t>KLIPPAN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46210</v>
      </c>
      <c r="E219" s="1" t="n">
        <v>46283</v>
      </c>
      <c r="F219" t="inlineStr">
        <is>
          <t>SKÅNE LÄN</t>
        </is>
      </c>
      <c r="G219" t="inlineStr">
        <is>
          <t>KLIPPAN</t>
        </is>
      </c>
      <c r="H219" t="inlineStr">
        <is>
          <t>Övriga Aktiebolag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68856-2021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46283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46283</v>
      </c>
      <c r="F221" t="inlineStr">
        <is>
          <t>SKÅNE LÄN</t>
        </is>
      </c>
      <c r="G221" t="inlineStr">
        <is>
          <t>KLIPPAN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46168</v>
      </c>
      <c r="E222" s="1" t="n">
        <v>46283</v>
      </c>
      <c r="F222" t="inlineStr">
        <is>
          <t>SKÅNE LÄN</t>
        </is>
      </c>
      <c r="G222" t="inlineStr">
        <is>
          <t>KLIPPAN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46283</v>
      </c>
      <c r="F223" t="inlineStr">
        <is>
          <t>SKÅNE LÄN</t>
        </is>
      </c>
      <c r="G223" t="inlineStr">
        <is>
          <t>KLIPPAN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46283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44593</v>
      </c>
      <c r="E225" s="1" t="n">
        <v>46283</v>
      </c>
      <c r="F225" t="inlineStr">
        <is>
          <t>SKÅNE LÄN</t>
        </is>
      </c>
      <c r="G225" t="inlineStr">
        <is>
          <t>KLIPPAN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44936</v>
      </c>
      <c r="E226" s="1" t="n">
        <v>46283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46027</v>
      </c>
      <c r="E227" s="1" t="n">
        <v>46283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46223</v>
      </c>
      <c r="E228" s="1" t="n">
        <v>46283</v>
      </c>
      <c r="F228" t="inlineStr">
        <is>
          <t>SKÅNE LÄN</t>
        </is>
      </c>
      <c r="G228" t="inlineStr">
        <is>
          <t>KLIPPAN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46283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46279</v>
      </c>
      <c r="E230" s="1" t="n">
        <v>46283</v>
      </c>
      <c r="F230" t="inlineStr">
        <is>
          <t>SKÅNE LÄN</t>
        </is>
      </c>
      <c r="G230" t="inlineStr">
        <is>
          <t>KLIPPAN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39244-2022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44817</v>
      </c>
      <c r="E231" s="1" t="n">
        <v>46283</v>
      </c>
      <c r="F231" t="inlineStr">
        <is>
          <t>SKÅNE LÄN</t>
        </is>
      </c>
      <c r="G231" t="inlineStr">
        <is>
          <t>KLIPPAN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46210</v>
      </c>
      <c r="E232" s="1" t="n">
        <v>46283</v>
      </c>
      <c r="F232" t="inlineStr">
        <is>
          <t>SKÅNE LÄN</t>
        </is>
      </c>
      <c r="G232" t="inlineStr">
        <is>
          <t>KLIPPAN</t>
        </is>
      </c>
      <c r="H232" t="inlineStr">
        <is>
          <t>Övriga Aktiebolag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38234-2026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46281</v>
      </c>
      <c r="E233" s="1" t="n">
        <v>46283</v>
      </c>
      <c r="F233" t="inlineStr">
        <is>
          <t>SKÅNE LÄN</t>
        </is>
      </c>
      <c r="G233" t="inlineStr">
        <is>
          <t>KLIPPAN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44993</v>
      </c>
      <c r="E234" s="1" t="n">
        <v>46283</v>
      </c>
      <c r="F234" t="inlineStr">
        <is>
          <t>SKÅNE LÄN</t>
        </is>
      </c>
      <c r="G234" t="inlineStr">
        <is>
          <t>KLIPPAN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38323-2023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46283</v>
      </c>
      <c r="F235" t="inlineStr">
        <is>
          <t>SKÅNE LÄN</t>
        </is>
      </c>
      <c r="G235" t="inlineStr">
        <is>
          <t>KLIPPAN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46283</v>
      </c>
      <c r="F236" t="inlineStr">
        <is>
          <t>SKÅNE LÄN</t>
        </is>
      </c>
      <c r="G236" t="inlineStr">
        <is>
          <t>KLIPPAN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44593</v>
      </c>
      <c r="E237" s="1" t="n">
        <v>46283</v>
      </c>
      <c r="F237" t="inlineStr">
        <is>
          <t>SKÅNE LÄN</t>
        </is>
      </c>
      <c r="G237" t="inlineStr">
        <is>
          <t>KLIPPAN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52877-2022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44875</v>
      </c>
      <c r="E238" s="1" t="n">
        <v>46283</v>
      </c>
      <c r="F238" t="inlineStr">
        <is>
          <t>SKÅNE LÄN</t>
        </is>
      </c>
      <c r="G238" t="inlineStr">
        <is>
          <t>KLIPPAN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46283</v>
      </c>
      <c r="F239" t="inlineStr">
        <is>
          <t>SKÅNE LÄN</t>
        </is>
      </c>
      <c r="G239" t="inlineStr">
        <is>
          <t>KLIPPAN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46283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46283</v>
      </c>
      <c r="F241" t="inlineStr">
        <is>
          <t>SKÅNE LÄN</t>
        </is>
      </c>
      <c r="G241" t="inlineStr">
        <is>
          <t>KLIPPAN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45328</v>
      </c>
      <c r="E242" s="1" t="n">
        <v>46283</v>
      </c>
      <c r="F242" t="inlineStr">
        <is>
          <t>SKÅNE LÄN</t>
        </is>
      </c>
      <c r="G242" t="inlineStr">
        <is>
          <t>KLIPPAN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44944</v>
      </c>
      <c r="E243" s="1" t="n">
        <v>46283</v>
      </c>
      <c r="F243" t="inlineStr">
        <is>
          <t>SKÅNE LÄN</t>
        </is>
      </c>
      <c r="G243" t="inlineStr">
        <is>
          <t>KLIPPAN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46283</v>
      </c>
      <c r="F244" t="inlineStr">
        <is>
          <t>SKÅNE LÄN</t>
        </is>
      </c>
      <c r="G244" t="inlineStr">
        <is>
          <t>KLIPPAN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45544</v>
      </c>
      <c r="E245" s="1" t="n">
        <v>46283</v>
      </c>
      <c r="F245" t="inlineStr">
        <is>
          <t>SKÅNE LÄN</t>
        </is>
      </c>
      <c r="G245" t="inlineStr">
        <is>
          <t>KLIPPAN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45523</v>
      </c>
      <c r="E246" s="1" t="n">
        <v>46283</v>
      </c>
      <c r="F246" t="inlineStr">
        <is>
          <t>SKÅNE LÄN</t>
        </is>
      </c>
      <c r="G246" t="inlineStr">
        <is>
          <t>KLIPPAN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45224</v>
      </c>
      <c r="E247" s="1" t="n">
        <v>46283</v>
      </c>
      <c r="F247" t="inlineStr">
        <is>
          <t>SKÅNE LÄN</t>
        </is>
      </c>
      <c r="G247" t="inlineStr">
        <is>
          <t>KLIPPAN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44855</v>
      </c>
      <c r="E248" s="1" t="n">
        <v>46283</v>
      </c>
      <c r="F248" t="inlineStr">
        <is>
          <t>SKÅNE LÄN</t>
        </is>
      </c>
      <c r="G248" t="inlineStr">
        <is>
          <t>KLIPPAN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45399</v>
      </c>
      <c r="E249" s="1" t="n">
        <v>46283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46283</v>
      </c>
      <c r="F250" t="inlineStr">
        <is>
          <t>SKÅNE LÄN</t>
        </is>
      </c>
      <c r="G250" t="inlineStr">
        <is>
          <t>KLIPPAN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45739</v>
      </c>
      <c r="E251" s="1" t="n">
        <v>46283</v>
      </c>
      <c r="F251" t="inlineStr">
        <is>
          <t>SKÅNE LÄN</t>
        </is>
      </c>
      <c r="G251" t="inlineStr">
        <is>
          <t>KLIPPAN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44991</v>
      </c>
      <c r="E252" s="1" t="n">
        <v>46283</v>
      </c>
      <c r="F252" t="inlineStr">
        <is>
          <t>SKÅNE LÄN</t>
        </is>
      </c>
      <c r="G252" t="inlineStr">
        <is>
          <t>KLIPPAN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45579</v>
      </c>
      <c r="E253" s="1" t="n">
        <v>46283</v>
      </c>
      <c r="F253" t="inlineStr">
        <is>
          <t>SKÅNE LÄN</t>
        </is>
      </c>
      <c r="G253" t="inlineStr">
        <is>
          <t>KLIPPAN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46283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46283</v>
      </c>
      <c r="F255" t="inlineStr">
        <is>
          <t>SKÅNE LÄN</t>
        </is>
      </c>
      <c r="G255" t="inlineStr">
        <is>
          <t>KLIPPAN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46283</v>
      </c>
      <c r="F256" t="inlineStr">
        <is>
          <t>SKÅNE LÄN</t>
        </is>
      </c>
      <c r="G256" t="inlineStr">
        <is>
          <t>KLIPPAN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46283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46283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46283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46283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46283</v>
      </c>
      <c r="F261" t="inlineStr">
        <is>
          <t>SKÅNE LÄN</t>
        </is>
      </c>
      <c r="G261" t="inlineStr">
        <is>
          <t>KLIPPAN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46283</v>
      </c>
      <c r="F262" t="inlineStr">
        <is>
          <t>SKÅNE LÄN</t>
        </is>
      </c>
      <c r="G262" t="inlineStr">
        <is>
          <t>KLIPPAN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46283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69394-2021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46283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46283</v>
      </c>
      <c r="F265" t="inlineStr">
        <is>
          <t>SKÅNE LÄN</t>
        </is>
      </c>
      <c r="G265" t="inlineStr">
        <is>
          <t>KLIPPAN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45721</v>
      </c>
      <c r="E266" s="1" t="n">
        <v>46283</v>
      </c>
      <c r="F266" t="inlineStr">
        <is>
          <t>SKÅNE LÄN</t>
        </is>
      </c>
      <c r="G266" t="inlineStr">
        <is>
          <t>KLIPPAN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59482-2024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45638</v>
      </c>
      <c r="E267" s="1" t="n">
        <v>46283</v>
      </c>
      <c r="F267" t="inlineStr">
        <is>
          <t>SKÅNE LÄN</t>
        </is>
      </c>
      <c r="G267" t="inlineStr">
        <is>
          <t>KLIPPAN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704-2022</t>
        </is>
      </c>
      <c r="B268" t="inlineStr">
        <is>
          <t>samrådsanmälan</t>
        </is>
      </c>
      <c r="C268" t="inlineStr">
        <is>
          <t>Skogsbilväg</t>
        </is>
      </c>
      <c r="D268" s="1" t="n">
        <v>44599</v>
      </c>
      <c r="E268" s="1" t="n">
        <v>46283</v>
      </c>
      <c r="F268" t="inlineStr">
        <is>
          <t>SKÅNE LÄN</t>
        </is>
      </c>
      <c r="G268" t="inlineStr">
        <is>
          <t>KLIPPAN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2678-2022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46283</v>
      </c>
      <c r="F269" t="inlineStr">
        <is>
          <t>SKÅNE LÄN</t>
        </is>
      </c>
      <c r="G269" t="inlineStr">
        <is>
          <t>KLIPPAN</t>
        </is>
      </c>
      <c r="I269" t="n">
        <v>15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2690-2022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44701</v>
      </c>
      <c r="E270" s="1" t="n">
        <v>46283</v>
      </c>
      <c r="F270" t="inlineStr">
        <is>
          <t>SKÅNE LÄN</t>
        </is>
      </c>
      <c r="G270" t="inlineStr">
        <is>
          <t>KLIPPAN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3541-2023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45209</v>
      </c>
      <c r="E271" s="1" t="n">
        <v>46283</v>
      </c>
      <c r="F271" t="inlineStr">
        <is>
          <t>SKÅNE LÄN</t>
        </is>
      </c>
      <c r="G271" t="inlineStr">
        <is>
          <t>KLIPPAN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5970-2022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44858</v>
      </c>
      <c r="E272" s="1" t="n">
        <v>46283</v>
      </c>
      <c r="F272" t="inlineStr">
        <is>
          <t>SKÅNE LÄN</t>
        </is>
      </c>
      <c r="G272" t="inlineStr">
        <is>
          <t>KLIPPAN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116-2023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44936</v>
      </c>
      <c r="E273" s="1" t="n">
        <v>46283</v>
      </c>
      <c r="F273" t="inlineStr">
        <is>
          <t>SKÅNE LÄN</t>
        </is>
      </c>
      <c r="G273" t="inlineStr">
        <is>
          <t>KLIPPAN</t>
        </is>
      </c>
      <c r="I273" t="n">
        <v>51.8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525-2024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45348</v>
      </c>
      <c r="E274" s="1" t="n">
        <v>46283</v>
      </c>
      <c r="F274" t="inlineStr">
        <is>
          <t>SKÅNE LÄN</t>
        </is>
      </c>
      <c r="G274" t="inlineStr">
        <is>
          <t>KLIPPAN</t>
        </is>
      </c>
      <c r="I274" t="n">
        <v>22.3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1710-2024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46283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1713-2024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46283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3796-2024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46283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3804-2024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46283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1716-2024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46283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29.5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110-2023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44936</v>
      </c>
      <c r="E280" s="1" t="n">
        <v>46283</v>
      </c>
      <c r="F280" t="inlineStr">
        <is>
          <t>SKÅNE LÄN</t>
        </is>
      </c>
      <c r="G280" t="inlineStr">
        <is>
          <t>KLIPPAN</t>
        </is>
      </c>
      <c r="I280" t="n">
        <v>26.9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4865-2022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44805</v>
      </c>
      <c r="E281" s="1" t="n">
        <v>46283</v>
      </c>
      <c r="F281" t="inlineStr">
        <is>
          <t>SKÅNE LÄN</t>
        </is>
      </c>
      <c r="G281" t="inlineStr">
        <is>
          <t>KLIPPAN</t>
        </is>
      </c>
      <c r="I281" t="n">
        <v>29.1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3792-2024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46283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2225-2023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45109</v>
      </c>
      <c r="E283" s="1" t="n">
        <v>46283</v>
      </c>
      <c r="F283" t="inlineStr">
        <is>
          <t>SKÅNE LÄN</t>
        </is>
      </c>
      <c r="G283" t="inlineStr">
        <is>
          <t>KLIPPAN</t>
        </is>
      </c>
      <c r="I283" t="n">
        <v>15.2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5892-2022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44853</v>
      </c>
      <c r="E284" s="1" t="n">
        <v>46283</v>
      </c>
      <c r="F284" t="inlineStr">
        <is>
          <t>SKÅNE LÄN</t>
        </is>
      </c>
      <c r="G284" t="inlineStr">
        <is>
          <t>KLIPPAN</t>
        </is>
      </c>
      <c r="I284" t="n">
        <v>24.6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5986-2022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44859</v>
      </c>
      <c r="E285" s="1" t="n">
        <v>46283</v>
      </c>
      <c r="F285" t="inlineStr">
        <is>
          <t>SKÅNE LÄN</t>
        </is>
      </c>
      <c r="G285" t="inlineStr">
        <is>
          <t>KLIPPAN</t>
        </is>
      </c>
      <c r="I285" t="n">
        <v>19.6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4186-2024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45579</v>
      </c>
      <c r="E286" s="1" t="n">
        <v>46283</v>
      </c>
      <c r="F286" t="inlineStr">
        <is>
          <t>SKÅNE LÄN</t>
        </is>
      </c>
      <c r="G286" t="inlineStr">
        <is>
          <t>KLIPPAN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3806-2024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45558</v>
      </c>
      <c r="E287" s="1" t="n">
        <v>46283</v>
      </c>
      <c r="F287" t="inlineStr">
        <is>
          <t>SKÅNE LÄN</t>
        </is>
      </c>
      <c r="G287" t="inlineStr">
        <is>
          <t>KLIPPAN</t>
        </is>
      </c>
      <c r="H287" t="inlineStr">
        <is>
          <t>Sveaskog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1606-2025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45798</v>
      </c>
      <c r="E288" s="1" t="n">
        <v>46283</v>
      </c>
      <c r="F288" t="inlineStr">
        <is>
          <t>SKÅNE LÄN</t>
        </is>
      </c>
      <c r="G288" t="inlineStr">
        <is>
          <t>KLIPPAN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2907-2025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45947</v>
      </c>
      <c r="E289" s="1" t="n">
        <v>46283</v>
      </c>
      <c r="F289" t="inlineStr">
        <is>
          <t>SKÅNE LÄN</t>
        </is>
      </c>
      <c r="G289" t="inlineStr">
        <is>
          <t>KLIPPAN</t>
        </is>
      </c>
      <c r="I289" t="n">
        <v>48.2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83-2026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46034</v>
      </c>
      <c r="E290" s="1" t="n">
        <v>46283</v>
      </c>
      <c r="F290" t="inlineStr">
        <is>
          <t>SKÅNE LÄN</t>
        </is>
      </c>
      <c r="G290" t="inlineStr">
        <is>
          <t>KLIPPAN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166-2026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46044</v>
      </c>
      <c r="E291" s="1" t="n">
        <v>46283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2022-2026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46283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14.3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2019-2026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46283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20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>
      <c r="A294" t="inlineStr">
        <is>
          <t>S 2020-2026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46283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30.3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2026-09-18T02:00:58Z</dcterms:created>
  <dcterms:modified xmlns:dcterms="http://purl.org/dc/terms/" xmlns:xsi="http://www.w3.org/2001/XMLSchema-instance" xsi:type="dcterms:W3CDTF">2026-09-18T02:00:58Z</dcterms:modified>
</cp:coreProperties>
</file>