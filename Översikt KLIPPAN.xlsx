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46248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46248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46248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46248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46248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46248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46248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46248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46248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46248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46248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46248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54644-2023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45235</v>
      </c>
      <c r="E14" s="1" t="n">
        <v>46248</v>
      </c>
      <c r="F14" t="inlineStr">
        <is>
          <t>SKÅNE LÄN</t>
        </is>
      </c>
      <c r="G14" t="inlineStr">
        <is>
          <t>KLIPPAN</t>
        </is>
      </c>
      <c r="I14" t="n">
        <v>8.1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Havstulpanlav
Spillkråka
Skogsduva</t>
        </is>
      </c>
      <c r="W14">
        <f>HYPERLINK("https://klasma.github.io/Logging_1276/artfynd/A 54644-2023 artfynd.xlsx", "A 54644-2023")</f>
        <v/>
      </c>
      <c r="X14">
        <f>HYPERLINK("https://klasma.github.io/Logging_1276/kartor/A 54644-2023 karta.png", "A 54644-2023")</f>
        <v/>
      </c>
      <c r="Y14">
        <f>HYPERLINK("https://klasma.github.io/Logging_1276/kartor_geotiff/A 54644-2023 georefererad karta.tif", "A 54644-2023")</f>
        <v/>
      </c>
      <c r="AA14">
        <f>HYPERLINK("https://klasma.github.io/Logging_1276/klagomål/A 54644-2023 FSC-klagomål.docx", "A 54644-2023")</f>
        <v/>
      </c>
      <c r="AB14">
        <f>HYPERLINK("https://klasma.github.io/Logging_1276/klagomålsmail/A 54644-2023 FSC-klagomål mail.docx", "A 54644-2023")</f>
        <v/>
      </c>
      <c r="AC14">
        <f>HYPERLINK("https://klasma.github.io/Logging_1276/tillsyn/A 54644-2023 tillsynsbegäran.docx", "A 54644-2023")</f>
        <v/>
      </c>
      <c r="AD14">
        <f>HYPERLINK("https://klasma.github.io/Logging_1276/tillsynsmail/A 54644-2023 tillsynsbegäran mail.docx", "A 54644-2023")</f>
        <v/>
      </c>
      <c r="AE14">
        <f>HYPERLINK("https://klasma.github.io/Logging_1276/fåglar/A 54644-2023 prioriterade fågelarter.docx", "A 54644-2023")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46248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46248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46248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46248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Skogsknipprot
Grönsiska
Kungsfågel</t>
        </is>
      </c>
      <c r="W18">
        <f>HYPERLINK("https://klasma.github.io/Logging_1276/artfynd/S 5972-2022 artfynd.xlsx", "S 5972-2022")</f>
        <v/>
      </c>
      <c r="X18">
        <f>HYPERLINK("https://klasma.github.io/Logging_1276/kartor/S 5972-2022 karta.png", "S 5972-2022")</f>
        <v/>
      </c>
      <c r="Y18">
        <f>HYPERLINK("https://klasma.github.io/Logging_1276/kartor_geotiff/S 5972-2022 georefererad karta.tif", "S 5972-2022")</f>
        <v/>
      </c>
      <c r="AA18">
        <f>HYPERLINK("https://klasma.github.io/Logging_1276/klagomål/S 5972-2022 FSC-klagomål.docx", "S 5972-2022")</f>
        <v/>
      </c>
      <c r="AB18">
        <f>HYPERLINK("https://klasma.github.io/Logging_1276/klagomålsmail/S 5972-2022 FSC-klagomål mail.docx", "S 5972-2022")</f>
        <v/>
      </c>
      <c r="AC18">
        <f>HYPERLINK("https://klasma.github.io/Logging_1276/tillsyn/S 5972-2022 tillsynsbegäran.docx", "S 5972-2022")</f>
        <v/>
      </c>
      <c r="AD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46248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Fläcklungört
Strutbräken</t>
        </is>
      </c>
      <c r="W19">
        <f>HYPERLINK("https://klasma.github.io/Logging_1276/artfynd/A 19094-2022 artfynd.xlsx", "A 19094-2022")</f>
        <v/>
      </c>
      <c r="X19">
        <f>HYPERLINK("https://klasma.github.io/Logging_1276/kartor/A 19094-2022 karta.png", "A 19094-2022")</f>
        <v/>
      </c>
      <c r="Y19">
        <f>HYPERLINK("https://klasma.github.io/Logging_1276/kartor_geotiff/A 19094-2022 georefererad karta.tif", "A 19094-2022")</f>
        <v/>
      </c>
      <c r="AA19">
        <f>HYPERLINK("https://klasma.github.io/Logging_1276/klagomål/A 19094-2022 FSC-klagomål.docx", "A 19094-2022")</f>
        <v/>
      </c>
      <c r="AB19">
        <f>HYPERLINK("https://klasma.github.io/Logging_1276/klagomålsmail/A 19094-2022 FSC-klagomål mail.docx", "A 19094-2022")</f>
        <v/>
      </c>
      <c r="AC19">
        <f>HYPERLINK("https://klasma.github.io/Logging_1276/tillsyn/A 19094-2022 tillsynsbegäran.docx", "A 19094-2022")</f>
        <v/>
      </c>
      <c r="AD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46248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Kungsfågel</t>
        </is>
      </c>
      <c r="W20">
        <f>HYPERLINK("https://klasma.github.io/Logging_1276/artfynd/A 5732-2022 artfynd.xlsx", "A 5732-2022")</f>
        <v/>
      </c>
      <c r="X20">
        <f>HYPERLINK("https://klasma.github.io/Logging_1276/kartor/A 5732-2022 karta.png", "A 5732-2022")</f>
        <v/>
      </c>
      <c r="Y20">
        <f>HYPERLINK("https://klasma.github.io/Logging_1276/kartor_geotiff/A 5732-2022 georefererad karta.tif", "A 5732-2022")</f>
        <v/>
      </c>
      <c r="AA20">
        <f>HYPERLINK("https://klasma.github.io/Logging_1276/klagomål/A 5732-2022 FSC-klagomål.docx", "A 5732-2022")</f>
        <v/>
      </c>
      <c r="AB20">
        <f>HYPERLINK("https://klasma.github.io/Logging_1276/klagomålsmail/A 5732-2022 FSC-klagomål mail.docx", "A 5732-2022")</f>
        <v/>
      </c>
      <c r="AC20">
        <f>HYPERLINK("https://klasma.github.io/Logging_1276/tillsyn/A 5732-2022 tillsynsbegäran.docx", "A 5732-2022")</f>
        <v/>
      </c>
      <c r="AD20">
        <f>HYPERLINK("https://klasma.github.io/Logging_1276/tillsynsmail/A 5732-2022 tillsynsbegäran mail.docx", "A 5732-2022")</f>
        <v/>
      </c>
      <c r="AE20">
        <f>HYPERLINK("https://klasma.github.io/Logging_1276/fåglar/A 5732-2022 prioriterade fågelarter.docx", "A 5732-2022")</f>
        <v/>
      </c>
    </row>
    <row r="21" ht="15" customHeight="1">
      <c r="A21" t="inlineStr">
        <is>
          <t>A 11673-2022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44633</v>
      </c>
      <c r="E21" s="1" t="n">
        <v>46248</v>
      </c>
      <c r="F21" t="inlineStr">
        <is>
          <t>SKÅNE LÄN</t>
        </is>
      </c>
      <c r="G21" t="inlineStr">
        <is>
          <t>KLIPPAN</t>
        </is>
      </c>
      <c r="I21" t="n">
        <v>1.8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Vanlig groda</t>
        </is>
      </c>
      <c r="W21">
        <f>HYPERLINK("https://klasma.github.io/Logging_1276/artfynd/A 11673-2022 artfynd.xlsx", "A 11673-2022")</f>
        <v/>
      </c>
      <c r="X21">
        <f>HYPERLINK("https://klasma.github.io/Logging_1276/kartor/A 11673-2022 karta.png", "A 11673-2022")</f>
        <v/>
      </c>
      <c r="Y21">
        <f>HYPERLINK("https://klasma.github.io/Logging_1276/kartor_geotiff/A 11673-2022 georefererad karta.tif", "A 11673-2022")</f>
        <v/>
      </c>
      <c r="AA21">
        <f>HYPERLINK("https://klasma.github.io/Logging_1276/klagomål/A 11673-2022 FSC-klagomål.docx", "A 11673-2022")</f>
        <v/>
      </c>
      <c r="AB21">
        <f>HYPERLINK("https://klasma.github.io/Logging_1276/klagomålsmail/A 11673-2022 FSC-klagomål mail.docx", "A 11673-2022")</f>
        <v/>
      </c>
      <c r="AC21">
        <f>HYPERLINK("https://klasma.github.io/Logging_1276/tillsyn/A 11673-2022 tillsynsbegäran.docx", "A 11673-2022")</f>
        <v/>
      </c>
      <c r="AD21">
        <f>HYPERLINK("https://klasma.github.io/Logging_1276/tillsynsmail/A 11673-2022 tillsynsbegäran mail.docx", "A 11673-2022")</f>
        <v/>
      </c>
      <c r="AE21">
        <f>HYPERLINK("https://klasma.github.io/Logging_1276/fåglar/A 11673-2022 prioriterade fågelarter.docx", "A 11673-2022")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46248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46248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46248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46248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46248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46248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3</v>
      </c>
      <c r="V27" s="2" t="inlineStr">
        <is>
          <t>Sommarklynne
Silversmygare</t>
        </is>
      </c>
      <c r="W27">
        <f>HYPERLINK("https://klasma.github.io/Logging_1276/artfynd/S 977-2023 artfynd.xlsx", "S 977-2023")</f>
        <v/>
      </c>
      <c r="X27">
        <f>HYPERLINK("https://klasma.github.io/Logging_1276/kartor/S 977-2023 karta.png", "S 977-2023")</f>
        <v/>
      </c>
      <c r="Y27">
        <f>HYPERLINK("https://klasma.github.io/Logging_1276/kartor_geotiff/S 977-2023 georefererad karta.tif", "S 977-2023")</f>
        <v/>
      </c>
      <c r="AA27">
        <f>HYPERLINK("https://klasma.github.io/Logging_1276/klagomål/S 977-2023 FSC-klagomål.docx", "S 977-2023")</f>
        <v/>
      </c>
      <c r="AB27">
        <f>HYPERLINK("https://klasma.github.io/Logging_1276/klagomålsmail/S 977-2023 FSC-klagomål mail.docx", "S 977-2023")</f>
        <v/>
      </c>
      <c r="AC27">
        <f>HYPERLINK("https://klasma.github.io/Logging_1276/tillsyn/S 977-2023 tillsynsbegäran.docx", "S 977-2023")</f>
        <v/>
      </c>
      <c r="AD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46248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Mattlummer
Revlummer</t>
        </is>
      </c>
      <c r="W28">
        <f>HYPERLINK("https://klasma.github.io/Logging_1276/artfynd/S 4007-2022 artfynd.xlsx", "S 4007-2022")</f>
        <v/>
      </c>
      <c r="X28">
        <f>HYPERLINK("https://klasma.github.io/Logging_1276/kartor/S 4007-2022 karta.png", "S 4007-2022")</f>
        <v/>
      </c>
      <c r="Y28">
        <f>HYPERLINK("https://klasma.github.io/Logging_1276/kartor_geotiff/S 4007-2022 georefererad karta.tif", "S 4007-2022")</f>
        <v/>
      </c>
      <c r="AA28">
        <f>HYPERLINK("https://klasma.github.io/Logging_1276/klagomål/S 4007-2022 FSC-klagomål.docx", "S 4007-2022")</f>
        <v/>
      </c>
      <c r="AB28">
        <f>HYPERLINK("https://klasma.github.io/Logging_1276/klagomålsmail/S 4007-2022 FSC-klagomål mail.docx", "S 4007-2022")</f>
        <v/>
      </c>
      <c r="AC28">
        <f>HYPERLINK("https://klasma.github.io/Logging_1276/tillsyn/S 4007-2022 tillsynsbegäran.docx", "S 4007-2022")</f>
        <v/>
      </c>
      <c r="AD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46248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Större vattensalamander
Vanlig padda</t>
        </is>
      </c>
      <c r="W29">
        <f>HYPERLINK("https://klasma.github.io/Logging_1276/artfynd/S 47-2026 artfynd.xlsx", "S 47-2026")</f>
        <v/>
      </c>
      <c r="X29">
        <f>HYPERLINK("https://klasma.github.io/Logging_1276/kartor/S 47-2026 karta.png", "S 47-2026")</f>
        <v/>
      </c>
      <c r="Y29">
        <f>HYPERLINK("https://klasma.github.io/Logging_1276/kartor_geotiff/S 47-2026 georefererad karta.tif", "S 47-2026")</f>
        <v/>
      </c>
      <c r="AA29">
        <f>HYPERLINK("https://klasma.github.io/Logging_1276/klagomål/S 47-2026 FSC-klagomål.docx", "S 47-2026")</f>
        <v/>
      </c>
      <c r="AB29">
        <f>HYPERLINK("https://klasma.github.io/Logging_1276/klagomålsmail/S 47-2026 FSC-klagomål mail.docx", "S 47-2026")</f>
        <v/>
      </c>
      <c r="AC29">
        <f>HYPERLINK("https://klasma.github.io/Logging_1276/tillsyn/S 47-2026 tillsynsbegäran.docx", "S 47-2026")</f>
        <v/>
      </c>
      <c r="AD29">
        <f>HYPERLINK("https://klasma.github.io/Logging_1276/tillsynsmail/S 47-2026 tillsynsbegäran mail.docx", "S 47-2026")</f>
        <v/>
      </c>
    </row>
    <row r="30" ht="15" customHeight="1">
      <c r="A30" t="inlineStr">
        <is>
          <t>A 46147-2022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46248</v>
      </c>
      <c r="F30" t="inlineStr">
        <is>
          <t>SKÅNE LÄN</t>
        </is>
      </c>
      <c r="G30" t="inlineStr">
        <is>
          <t>KLIPPAN</t>
        </is>
      </c>
      <c r="I30" t="n">
        <v>5.7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HYPERLINK("https://klasma.github.io/Logging_1276/artfynd/A 46147-2022 artfynd.xlsx", "A 46147-2022")</f>
        <v/>
      </c>
      <c r="X30">
        <f>HYPERLINK("https://klasma.github.io/Logging_1276/kartor/A 46147-2022 karta.png", "A 46147-2022")</f>
        <v/>
      </c>
      <c r="Y30">
        <f>HYPERLINK("https://klasma.github.io/Logging_1276/kartor_geotiff/A 46147-2022 georefererad karta.tif", "A 46147-2022")</f>
        <v/>
      </c>
      <c r="AA30">
        <f>HYPERLINK("https://klasma.github.io/Logging_1276/klagomål/A 46147-2022 FSC-klagomål.docx", "A 46147-2022")</f>
        <v/>
      </c>
      <c r="AB30">
        <f>HYPERLINK("https://klasma.github.io/Logging_1276/klagomålsmail/A 46147-2022 FSC-klagomål mail.docx", "A 46147-2022")</f>
        <v/>
      </c>
      <c r="AC30">
        <f>HYPERLINK("https://klasma.github.io/Logging_1276/tillsyn/A 46147-2022 tillsynsbegäran.docx", "A 46147-2022")</f>
        <v/>
      </c>
      <c r="AD30">
        <f>HYPERLINK("https://klasma.github.io/Logging_1276/tillsynsmail/A 46147-2022 tillsynsbegäran mail.docx", "A 46147-2022")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46248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46248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44885-2022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44841</v>
      </c>
      <c r="E33" s="1" t="n">
        <v>46248</v>
      </c>
      <c r="F33" t="inlineStr">
        <is>
          <t>SKÅNE LÄN</t>
        </is>
      </c>
      <c r="G33" t="inlineStr">
        <is>
          <t>KLIPPAN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HYPERLINK("https://klasma.github.io/Logging_1276/artfynd/A 44885-2022 artfynd.xlsx", "A 44885-2022")</f>
        <v/>
      </c>
      <c r="X33">
        <f>HYPERLINK("https://klasma.github.io/Logging_1276/kartor/A 44885-2022 karta.png", "A 44885-2022")</f>
        <v/>
      </c>
      <c r="Y33">
        <f>HYPERLINK("https://klasma.github.io/Logging_1276/kartor_geotiff/A 44885-2022 georefererad karta.tif", "A 44885-2022")</f>
        <v/>
      </c>
      <c r="AA33">
        <f>HYPERLINK("https://klasma.github.io/Logging_1276/klagomål/A 44885-2022 FSC-klagomål.docx", "A 44885-2022")</f>
        <v/>
      </c>
      <c r="AB33">
        <f>HYPERLINK("https://klasma.github.io/Logging_1276/klagomålsmail/A 44885-2022 FSC-klagomål mail.docx", "A 44885-2022")</f>
        <v/>
      </c>
      <c r="AC33">
        <f>HYPERLINK("https://klasma.github.io/Logging_1276/tillsyn/A 44885-2022 tillsynsbegäran.docx", "A 44885-2022")</f>
        <v/>
      </c>
      <c r="AD33">
        <f>HYPERLINK("https://klasma.github.io/Logging_1276/tillsynsmail/A 44885-2022 tillsynsbegäran mail.docx", "A 44885-2022")</f>
        <v/>
      </c>
    </row>
    <row r="34" ht="15" customHeight="1">
      <c r="A34" t="inlineStr">
        <is>
          <t>A 10000-2025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45719</v>
      </c>
      <c r="E34" s="1" t="n">
        <v>46248</v>
      </c>
      <c r="F34" t="inlineStr">
        <is>
          <t>SKÅNE LÄN</t>
        </is>
      </c>
      <c r="G34" t="inlineStr">
        <is>
          <t>KLIPPAN</t>
        </is>
      </c>
      <c r="I34" t="n">
        <v>2.6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Dvärghäxört</t>
        </is>
      </c>
      <c r="W34">
        <f>HYPERLINK("https://klasma.github.io/Logging_1276/artfynd/A 10000-2025 artfynd.xlsx", "A 10000-2025")</f>
        <v/>
      </c>
      <c r="X34">
        <f>HYPERLINK("https://klasma.github.io/Logging_1276/kartor/A 10000-2025 karta.png", "A 10000-2025")</f>
        <v/>
      </c>
      <c r="Y34">
        <f>HYPERLINK("https://klasma.github.io/Logging_1276/kartor_geotiff/A 10000-2025 georefererad karta.tif", "A 10000-2025")</f>
        <v/>
      </c>
      <c r="AA34">
        <f>HYPERLINK("https://klasma.github.io/Logging_1276/klagomål/A 10000-2025 FSC-klagomål.docx", "A 10000-2025")</f>
        <v/>
      </c>
      <c r="AB34">
        <f>HYPERLINK("https://klasma.github.io/Logging_1276/klagomålsmail/A 10000-2025 FSC-klagomål mail.docx", "A 10000-2025")</f>
        <v/>
      </c>
      <c r="AC34">
        <f>HYPERLINK("https://klasma.github.io/Logging_1276/tillsyn/A 10000-2025 tillsynsbegäran.docx", "A 10000-2025")</f>
        <v/>
      </c>
      <c r="AD34">
        <f>HYPERLINK("https://klasma.github.io/Logging_1276/tillsynsmail/A 10000-2025 tillsynsbegäran mail.docx", "A 10000-2025")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46248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46248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51276-2024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46248</v>
      </c>
      <c r="F37" t="inlineStr">
        <is>
          <t>SKÅNE LÄN</t>
        </is>
      </c>
      <c r="G37" t="inlineStr">
        <is>
          <t>KLIPPAN</t>
        </is>
      </c>
      <c r="I37" t="n">
        <v>2.4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Rutskinn</t>
        </is>
      </c>
      <c r="W37">
        <f>HYPERLINK("https://klasma.github.io/Logging_1276/artfynd/A 51276-2024 artfynd.xlsx", "A 51276-2024")</f>
        <v/>
      </c>
      <c r="X37">
        <f>HYPERLINK("https://klasma.github.io/Logging_1276/kartor/A 51276-2024 karta.png", "A 51276-2024")</f>
        <v/>
      </c>
      <c r="Y37">
        <f>HYPERLINK("https://klasma.github.io/Logging_1276/kartor_geotiff/A 51276-2024 georefererad karta.tif", "A 51276-2024")</f>
        <v/>
      </c>
      <c r="AA37">
        <f>HYPERLINK("https://klasma.github.io/Logging_1276/klagomål/A 51276-2024 FSC-klagomål.docx", "A 51276-2024")</f>
        <v/>
      </c>
      <c r="AB37">
        <f>HYPERLINK("https://klasma.github.io/Logging_1276/klagomålsmail/A 51276-2024 FSC-klagomål mail.docx", "A 51276-2024")</f>
        <v/>
      </c>
      <c r="AC37">
        <f>HYPERLINK("https://klasma.github.io/Logging_1276/tillsyn/A 51276-2024 tillsynsbegäran.docx", "A 51276-2024")</f>
        <v/>
      </c>
      <c r="AD37">
        <f>HYPERLINK("https://klasma.github.io/Logging_1276/tillsynsmail/A 51276-2024 tillsynsbegäran mail.docx", "A 51276-2024")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46248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31525-2026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46223</v>
      </c>
      <c r="E39" s="1" t="n">
        <v>46248</v>
      </c>
      <c r="F39" t="inlineStr">
        <is>
          <t>SKÅNE LÄN</t>
        </is>
      </c>
      <c r="G39" t="inlineStr">
        <is>
          <t>KLIPPAN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Kruskantarell</t>
        </is>
      </c>
      <c r="W39">
        <f>HYPERLINK("https://klasma.github.io/Logging_1276/artfynd/A 31525-2026 artfynd.xlsx", "A 31525-2026")</f>
        <v/>
      </c>
      <c r="X39">
        <f>HYPERLINK("https://klasma.github.io/Logging_1276/kartor/A 31525-2026 karta.png", "A 31525-2026")</f>
        <v/>
      </c>
      <c r="Y39">
        <f>HYPERLINK("https://klasma.github.io/Logging_1276/kartor_geotiff/A 31525-2026 georefererad karta.tif", "A 31525-2026")</f>
        <v/>
      </c>
      <c r="AA39">
        <f>HYPERLINK("https://klasma.github.io/Logging_1276/klagomål/A 31525-2026 FSC-klagomål.docx", "A 31525-2026")</f>
        <v/>
      </c>
      <c r="AB39">
        <f>HYPERLINK("https://klasma.github.io/Logging_1276/klagomålsmail/A 31525-2026 FSC-klagomål mail.docx", "A 31525-2026")</f>
        <v/>
      </c>
      <c r="AC39">
        <f>HYPERLINK("https://klasma.github.io/Logging_1276/tillsyn/A 31525-2026 tillsynsbegäran.docx", "A 31525-2026")</f>
        <v/>
      </c>
      <c r="AD39">
        <f>HYPERLINK("https://klasma.github.io/Logging_1276/tillsynsmail/A 31525-2026 tillsynsbegäran mail.docx", "A 31525-2026")</f>
        <v/>
      </c>
    </row>
    <row r="40" ht="15" customHeight="1">
      <c r="A40" t="inlineStr">
        <is>
          <t>A 6446-2026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46248</v>
      </c>
      <c r="F40" t="inlineStr">
        <is>
          <t>SKÅNE LÄN</t>
        </is>
      </c>
      <c r="G40" t="inlineStr">
        <is>
          <t>KLIPPAN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HYPERLINK("https://klasma.github.io/Logging_1276/artfynd/A 6446-2026 artfynd.xlsx", "A 6446-2026")</f>
        <v/>
      </c>
      <c r="X40">
        <f>HYPERLINK("https://klasma.github.io/Logging_1276/kartor/A 6446-2026 karta.png", "A 6446-2026")</f>
        <v/>
      </c>
      <c r="Y40">
        <f>HYPERLINK("https://klasma.github.io/Logging_1276/kartor_geotiff/A 6446-2026 georefererad karta.tif", "A 6446-2026")</f>
        <v/>
      </c>
      <c r="AA40">
        <f>HYPERLINK("https://klasma.github.io/Logging_1276/klagomål/A 6446-2026 FSC-klagomål.docx", "A 6446-2026")</f>
        <v/>
      </c>
      <c r="AB40">
        <f>HYPERLINK("https://klasma.github.io/Logging_1276/klagomålsmail/A 6446-2026 FSC-klagomål mail.docx", "A 6446-2026")</f>
        <v/>
      </c>
      <c r="AC40">
        <f>HYPERLINK("https://klasma.github.io/Logging_1276/tillsyn/A 6446-2026 tillsynsbegäran.docx", "A 6446-2026")</f>
        <v/>
      </c>
      <c r="AD40">
        <f>HYPERLINK("https://klasma.github.io/Logging_1276/tillsynsmail/A 6446-2026 tillsynsbegäran mail.docx", "A 6446-2026")</f>
        <v/>
      </c>
    </row>
    <row r="41" ht="15" customHeight="1">
      <c r="A41" t="inlineStr">
        <is>
          <t>A 61058-2025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46248</v>
      </c>
      <c r="F41" t="inlineStr">
        <is>
          <t>SKÅNE LÄN</t>
        </is>
      </c>
      <c r="G41" t="inlineStr">
        <is>
          <t>KLIPPAN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HYPERLINK("https://klasma.github.io/Logging_1276/artfynd/A 61058-2025 artfynd.xlsx", "A 61058-2025")</f>
        <v/>
      </c>
      <c r="X41">
        <f>HYPERLINK("https://klasma.github.io/Logging_1276/kartor/A 61058-2025 karta.png", "A 61058-2025")</f>
        <v/>
      </c>
      <c r="Y41">
        <f>HYPERLINK("https://klasma.github.io/Logging_1276/kartor_geotiff/A 61058-2025 georefererad karta.tif", "A 61058-2025")</f>
        <v/>
      </c>
      <c r="AA41">
        <f>HYPERLINK("https://klasma.github.io/Logging_1276/klagomål/A 61058-2025 FSC-klagomål.docx", "A 61058-2025")</f>
        <v/>
      </c>
      <c r="AB41">
        <f>HYPERLINK("https://klasma.github.io/Logging_1276/klagomålsmail/A 61058-2025 FSC-klagomål mail.docx", "A 61058-2025")</f>
        <v/>
      </c>
      <c r="AC41">
        <f>HYPERLINK("https://klasma.github.io/Logging_1276/tillsyn/A 61058-2025 tillsynsbegäran.docx", "A 61058-2025")</f>
        <v/>
      </c>
      <c r="AD41">
        <f>HYPERLINK("https://klasma.github.io/Logging_1276/tillsynsmail/A 61058-2025 tillsynsbegäran mail.docx", "A 61058-2025")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46248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46248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46248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46248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46248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46248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46248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46248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46248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46248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46248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46248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46248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46248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44575</v>
      </c>
      <c r="E56" s="1" t="n">
        <v>46248</v>
      </c>
      <c r="F56" t="inlineStr">
        <is>
          <t>SKÅNE LÄN</t>
        </is>
      </c>
      <c r="G56" t="inlineStr">
        <is>
          <t>KLIPPAN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46248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46248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46248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32455-2022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44782</v>
      </c>
      <c r="E60" s="1" t="n">
        <v>46248</v>
      </c>
      <c r="F60" t="inlineStr">
        <is>
          <t>SKÅNE LÄN</t>
        </is>
      </c>
      <c r="G60" t="inlineStr">
        <is>
          <t>KLIPPAN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54516-2022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46248</v>
      </c>
      <c r="F61" t="inlineStr">
        <is>
          <t>SKÅNE LÄN</t>
        </is>
      </c>
      <c r="G61" t="inlineStr">
        <is>
          <t>KLIPPAN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46248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46248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46248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46248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46248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45013</v>
      </c>
      <c r="E67" s="1" t="n">
        <v>46248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44726</v>
      </c>
      <c r="E68" s="1" t="n">
        <v>46248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46248</v>
      </c>
      <c r="F69" t="inlineStr">
        <is>
          <t>SKÅNE LÄN</t>
        </is>
      </c>
      <c r="G69" t="inlineStr">
        <is>
          <t>KLIPPAN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56089-2021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46248</v>
      </c>
      <c r="F70" t="inlineStr">
        <is>
          <t>SKÅNE LÄN</t>
        </is>
      </c>
      <c r="G70" t="inlineStr">
        <is>
          <t>KLIPPAN</t>
        </is>
      </c>
      <c r="I70" t="n">
        <v>20.9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45523</v>
      </c>
      <c r="E71" s="1" t="n">
        <v>46248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46248</v>
      </c>
      <c r="F72" t="inlineStr">
        <is>
          <t>SKÅNE LÄN</t>
        </is>
      </c>
      <c r="G72" t="inlineStr">
        <is>
          <t>KLIPPAN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46248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46248</v>
      </c>
      <c r="F74" t="inlineStr">
        <is>
          <t>SKÅNE LÄN</t>
        </is>
      </c>
      <c r="G74" t="inlineStr">
        <is>
          <t>KLIPPAN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46248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46248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45544</v>
      </c>
      <c r="E77" s="1" t="n">
        <v>46248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45739</v>
      </c>
      <c r="E78" s="1" t="n">
        <v>46248</v>
      </c>
      <c r="F78" t="inlineStr">
        <is>
          <t>SKÅNE LÄN</t>
        </is>
      </c>
      <c r="G78" t="inlineStr">
        <is>
          <t>KLIPPAN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46248</v>
      </c>
      <c r="F79" t="inlineStr">
        <is>
          <t>SKÅNE LÄN</t>
        </is>
      </c>
      <c r="G79" t="inlineStr">
        <is>
          <t>KLIPPAN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45562</v>
      </c>
      <c r="E80" s="1" t="n">
        <v>46248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55833-2023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45239</v>
      </c>
      <c r="E81" s="1" t="n">
        <v>46248</v>
      </c>
      <c r="F81" t="inlineStr">
        <is>
          <t>SKÅNE LÄN</t>
        </is>
      </c>
      <c r="G81" t="inlineStr">
        <is>
          <t>KLIPPAN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45104</v>
      </c>
      <c r="E82" s="1" t="n">
        <v>46248</v>
      </c>
      <c r="F82" t="inlineStr">
        <is>
          <t>SKÅNE LÄN</t>
        </is>
      </c>
      <c r="G82" t="inlineStr">
        <is>
          <t>KLIPPAN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24034-2023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46248</v>
      </c>
      <c r="F83" t="inlineStr">
        <is>
          <t>SKÅNE LÄN</t>
        </is>
      </c>
      <c r="G83" t="inlineStr">
        <is>
          <t>KLIPPAN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46248</v>
      </c>
      <c r="F84" t="inlineStr">
        <is>
          <t>SKÅNE LÄN</t>
        </is>
      </c>
      <c r="G84" t="inlineStr">
        <is>
          <t>KLIPPAN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45055</v>
      </c>
      <c r="E85" s="1" t="n">
        <v>46248</v>
      </c>
      <c r="F85" t="inlineStr">
        <is>
          <t>SKÅNE LÄN</t>
        </is>
      </c>
      <c r="G85" t="inlineStr">
        <is>
          <t>KLIPPAN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45673</v>
      </c>
      <c r="E86" s="1" t="n">
        <v>46248</v>
      </c>
      <c r="F86" t="inlineStr">
        <is>
          <t>SKÅNE LÄN</t>
        </is>
      </c>
      <c r="G86" t="inlineStr">
        <is>
          <t>KLIPPAN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46248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46248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46248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46248</v>
      </c>
      <c r="F90" t="inlineStr">
        <is>
          <t>SKÅNE LÄN</t>
        </is>
      </c>
      <c r="G90" t="inlineStr">
        <is>
          <t>KLIPPAN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33331-2024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46248</v>
      </c>
      <c r="F91" t="inlineStr">
        <is>
          <t>SKÅNE LÄN</t>
        </is>
      </c>
      <c r="G91" t="inlineStr">
        <is>
          <t>KLIPPAN</t>
        </is>
      </c>
      <c r="H91" t="inlineStr">
        <is>
          <t>Sveaskog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45104</v>
      </c>
      <c r="E92" s="1" t="n">
        <v>46248</v>
      </c>
      <c r="F92" t="inlineStr">
        <is>
          <t>SKÅNE LÄN</t>
        </is>
      </c>
      <c r="G92" t="inlineStr">
        <is>
          <t>KLIPPAN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45328</v>
      </c>
      <c r="E93" s="1" t="n">
        <v>46248</v>
      </c>
      <c r="F93" t="inlineStr">
        <is>
          <t>SKÅNE LÄN</t>
        </is>
      </c>
      <c r="G93" t="inlineStr">
        <is>
          <t>KLIPPAN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46248</v>
      </c>
      <c r="F94" t="inlineStr">
        <is>
          <t>SKÅNE LÄN</t>
        </is>
      </c>
      <c r="G94" t="inlineStr">
        <is>
          <t>KLIPPAN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46248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46248</v>
      </c>
      <c r="F96" t="inlineStr">
        <is>
          <t>SKÅNE LÄN</t>
        </is>
      </c>
      <c r="G96" t="inlineStr">
        <is>
          <t>KLIPPAN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45641-2022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44845</v>
      </c>
      <c r="E97" s="1" t="n">
        <v>46248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46248</v>
      </c>
      <c r="F98" t="inlineStr">
        <is>
          <t>SKÅNE LÄN</t>
        </is>
      </c>
      <c r="G98" t="inlineStr">
        <is>
          <t>KLIPPAN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46728-2023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45198</v>
      </c>
      <c r="E99" s="1" t="n">
        <v>46248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15070-2024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45399</v>
      </c>
      <c r="E100" s="1" t="n">
        <v>46248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46248</v>
      </c>
      <c r="F101" t="inlineStr">
        <is>
          <t>SKÅNE LÄN</t>
        </is>
      </c>
      <c r="G101" t="inlineStr">
        <is>
          <t>KLIPPAN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46248</v>
      </c>
      <c r="F102" t="inlineStr">
        <is>
          <t>SKÅNE LÄN</t>
        </is>
      </c>
      <c r="G102" t="inlineStr">
        <is>
          <t>KLIPPAN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46248</v>
      </c>
      <c r="F103" t="inlineStr">
        <is>
          <t>SKÅNE LÄN</t>
        </is>
      </c>
      <c r="G103" t="inlineStr">
        <is>
          <t>KLIPPAN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58642-2021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46248</v>
      </c>
      <c r="F104" t="inlineStr">
        <is>
          <t>SKÅNE LÄN</t>
        </is>
      </c>
      <c r="G104" t="inlineStr">
        <is>
          <t>KLIPPAN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45260</v>
      </c>
      <c r="E105" s="1" t="n">
        <v>46248</v>
      </c>
      <c r="F105" t="inlineStr">
        <is>
          <t>SKÅNE LÄN</t>
        </is>
      </c>
      <c r="G105" t="inlineStr">
        <is>
          <t>KLIPPAN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45013</v>
      </c>
      <c r="E106" s="1" t="n">
        <v>46248</v>
      </c>
      <c r="F106" t="inlineStr">
        <is>
          <t>SKÅNE LÄN</t>
        </is>
      </c>
      <c r="G106" t="inlineStr">
        <is>
          <t>KLIPPAN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46248</v>
      </c>
      <c r="F107" t="inlineStr">
        <is>
          <t>SKÅNE LÄN</t>
        </is>
      </c>
      <c r="G107" t="inlineStr">
        <is>
          <t>KLIPPAN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46248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44993</v>
      </c>
      <c r="E109" s="1" t="n">
        <v>46248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46248</v>
      </c>
      <c r="F110" t="inlineStr">
        <is>
          <t>SKÅNE LÄN</t>
        </is>
      </c>
      <c r="G110" t="inlineStr">
        <is>
          <t>KLIPPAN</t>
        </is>
      </c>
      <c r="H110" t="inlineStr">
        <is>
          <t>Övriga Aktiebolag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46248</v>
      </c>
      <c r="F111" t="inlineStr">
        <is>
          <t>SKÅNE LÄN</t>
        </is>
      </c>
      <c r="G111" t="inlineStr">
        <is>
          <t>KLIPPAN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46248</v>
      </c>
      <c r="F112" t="inlineStr">
        <is>
          <t>SKÅNE LÄN</t>
        </is>
      </c>
      <c r="G112" t="inlineStr">
        <is>
          <t>KLIPPAN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39097-2024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46248</v>
      </c>
      <c r="F113" t="inlineStr">
        <is>
          <t>SKÅNE LÄN</t>
        </is>
      </c>
      <c r="G113" t="inlineStr">
        <is>
          <t>KLIPPAN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46248</v>
      </c>
      <c r="F114" t="inlineStr">
        <is>
          <t>SKÅNE LÄN</t>
        </is>
      </c>
      <c r="G114" t="inlineStr">
        <is>
          <t>KLIPPAN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46248</v>
      </c>
      <c r="F115" t="inlineStr">
        <is>
          <t>SKÅNE LÄN</t>
        </is>
      </c>
      <c r="G115" t="inlineStr">
        <is>
          <t>KLIPPAN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46248</v>
      </c>
      <c r="F116" t="inlineStr">
        <is>
          <t>SKÅNE LÄN</t>
        </is>
      </c>
      <c r="G116" t="inlineStr">
        <is>
          <t>KLIPPAN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46248</v>
      </c>
      <c r="F117" t="inlineStr">
        <is>
          <t>SKÅNE LÄN</t>
        </is>
      </c>
      <c r="G117" t="inlineStr">
        <is>
          <t>KLIPPAN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46248</v>
      </c>
      <c r="F118" t="inlineStr">
        <is>
          <t>SKÅNE LÄN</t>
        </is>
      </c>
      <c r="G118" t="inlineStr">
        <is>
          <t>KLIPPAN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46248</v>
      </c>
      <c r="F119" t="inlineStr">
        <is>
          <t>SKÅNE LÄN</t>
        </is>
      </c>
      <c r="G119" t="inlineStr">
        <is>
          <t>KLIPPAN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46248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44944</v>
      </c>
      <c r="E121" s="1" t="n">
        <v>46248</v>
      </c>
      <c r="F121" t="inlineStr">
        <is>
          <t>SKÅNE LÄN</t>
        </is>
      </c>
      <c r="G121" t="inlineStr">
        <is>
          <t>KLIPPAN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46248</v>
      </c>
      <c r="F122" t="inlineStr">
        <is>
          <t>SKÅNE LÄN</t>
        </is>
      </c>
      <c r="G122" t="inlineStr">
        <is>
          <t>KLIPPAN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46248</v>
      </c>
      <c r="F123" t="inlineStr">
        <is>
          <t>SKÅNE LÄN</t>
        </is>
      </c>
      <c r="G123" t="inlineStr">
        <is>
          <t>KLIPPAN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46248</v>
      </c>
      <c r="F124" t="inlineStr">
        <is>
          <t>SKÅNE LÄN</t>
        </is>
      </c>
      <c r="G124" t="inlineStr">
        <is>
          <t>KLIPPAN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46248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46248</v>
      </c>
      <c r="F126" t="inlineStr">
        <is>
          <t>SKÅNE LÄN</t>
        </is>
      </c>
      <c r="G126" t="inlineStr">
        <is>
          <t>KLIPPAN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46248</v>
      </c>
      <c r="F127" t="inlineStr">
        <is>
          <t>SKÅNE LÄN</t>
        </is>
      </c>
      <c r="G127" t="inlineStr">
        <is>
          <t>KLIPPAN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46248</v>
      </c>
      <c r="F128" t="inlineStr">
        <is>
          <t>SKÅNE LÄN</t>
        </is>
      </c>
      <c r="G128" t="inlineStr">
        <is>
          <t>KLIPPAN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45040</v>
      </c>
      <c r="E129" s="1" t="n">
        <v>46248</v>
      </c>
      <c r="F129" t="inlineStr">
        <is>
          <t>SKÅNE LÄN</t>
        </is>
      </c>
      <c r="G129" t="inlineStr">
        <is>
          <t>KLIPPAN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46248</v>
      </c>
      <c r="F130" t="inlineStr">
        <is>
          <t>SKÅNE LÄN</t>
        </is>
      </c>
      <c r="G130" t="inlineStr">
        <is>
          <t>KLIPPAN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45161</v>
      </c>
      <c r="E131" s="1" t="n">
        <v>46248</v>
      </c>
      <c r="F131" t="inlineStr">
        <is>
          <t>SKÅNE LÄN</t>
        </is>
      </c>
      <c r="G131" t="inlineStr">
        <is>
          <t>KLIPPAN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46248</v>
      </c>
      <c r="F132" t="inlineStr">
        <is>
          <t>SKÅNE LÄN</t>
        </is>
      </c>
      <c r="G132" t="inlineStr">
        <is>
          <t>KLIPPAN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45324</v>
      </c>
      <c r="E133" s="1" t="n">
        <v>46248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46248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46248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45237</v>
      </c>
      <c r="E136" s="1" t="n">
        <v>46248</v>
      </c>
      <c r="F136" t="inlineStr">
        <is>
          <t>SKÅNE LÄN</t>
        </is>
      </c>
      <c r="G136" t="inlineStr">
        <is>
          <t>KLIPPAN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45442</v>
      </c>
      <c r="E137" s="1" t="n">
        <v>46248</v>
      </c>
      <c r="F137" t="inlineStr">
        <is>
          <t>SKÅNE LÄN</t>
        </is>
      </c>
      <c r="G137" t="inlineStr">
        <is>
          <t>KLIPPAN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46248</v>
      </c>
      <c r="F138" t="inlineStr">
        <is>
          <t>SKÅNE LÄN</t>
        </is>
      </c>
      <c r="G138" t="inlineStr">
        <is>
          <t>KLIPPAN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46248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46248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44841</v>
      </c>
      <c r="E141" s="1" t="n">
        <v>46248</v>
      </c>
      <c r="F141" t="inlineStr">
        <is>
          <t>SKÅNE LÄN</t>
        </is>
      </c>
      <c r="G141" t="inlineStr">
        <is>
          <t>KLIPPAN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69041-2021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44529</v>
      </c>
      <c r="E142" s="1" t="n">
        <v>46248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46248</v>
      </c>
      <c r="F143" t="inlineStr">
        <is>
          <t>SKÅNE LÄN</t>
        </is>
      </c>
      <c r="G143" t="inlineStr">
        <is>
          <t>KLIPPAN</t>
        </is>
      </c>
      <c r="H143" t="inlineStr">
        <is>
          <t>Övriga Aktiebolag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46248</v>
      </c>
      <c r="F144" t="inlineStr">
        <is>
          <t>SKÅNE LÄN</t>
        </is>
      </c>
      <c r="G144" t="inlineStr">
        <is>
          <t>KLIPPAN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45055</v>
      </c>
      <c r="E145" s="1" t="n">
        <v>46248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46248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45739</v>
      </c>
      <c r="E147" s="1" t="n">
        <v>46248</v>
      </c>
      <c r="F147" t="inlineStr">
        <is>
          <t>SKÅNE LÄN</t>
        </is>
      </c>
      <c r="G147" t="inlineStr">
        <is>
          <t>KLIPPAN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44992</v>
      </c>
      <c r="E148" s="1" t="n">
        <v>46248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46248</v>
      </c>
      <c r="F149" t="inlineStr">
        <is>
          <t>SKÅNE LÄN</t>
        </is>
      </c>
      <c r="G149" t="inlineStr">
        <is>
          <t>KLIPPAN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46248</v>
      </c>
      <c r="F150" t="inlineStr">
        <is>
          <t>SKÅNE LÄN</t>
        </is>
      </c>
      <c r="G150" t="inlineStr">
        <is>
          <t>KLIPPAN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46248</v>
      </c>
      <c r="F151" t="inlineStr">
        <is>
          <t>SKÅNE LÄN</t>
        </is>
      </c>
      <c r="G151" t="inlineStr">
        <is>
          <t>KLIPPAN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45588</v>
      </c>
      <c r="E152" s="1" t="n">
        <v>46248</v>
      </c>
      <c r="F152" t="inlineStr">
        <is>
          <t>SKÅNE LÄN</t>
        </is>
      </c>
      <c r="G152" t="inlineStr">
        <is>
          <t>KLIPPAN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46248</v>
      </c>
      <c r="F153" t="inlineStr">
        <is>
          <t>SKÅNE LÄN</t>
        </is>
      </c>
      <c r="G153" t="inlineStr">
        <is>
          <t>KLIPPAN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45075</v>
      </c>
      <c r="E154" s="1" t="n">
        <v>46248</v>
      </c>
      <c r="F154" t="inlineStr">
        <is>
          <t>SKÅNE LÄN</t>
        </is>
      </c>
      <c r="G154" t="inlineStr">
        <is>
          <t>KLIPPAN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44991</v>
      </c>
      <c r="E155" s="1" t="n">
        <v>46248</v>
      </c>
      <c r="F155" t="inlineStr">
        <is>
          <t>SKÅNE LÄN</t>
        </is>
      </c>
      <c r="G155" t="inlineStr">
        <is>
          <t>KLIPPAN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68856-2021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46248</v>
      </c>
      <c r="F156" t="inlineStr">
        <is>
          <t>SKÅNE LÄN</t>
        </is>
      </c>
      <c r="G156" t="inlineStr">
        <is>
          <t>KLIPPAN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46248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55586-2021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44475</v>
      </c>
      <c r="E158" s="1" t="n">
        <v>46248</v>
      </c>
      <c r="F158" t="inlineStr">
        <is>
          <t>SKÅNE LÄN</t>
        </is>
      </c>
      <c r="G158" t="inlineStr">
        <is>
          <t>KLIPPAN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45199</v>
      </c>
      <c r="E159" s="1" t="n">
        <v>46248</v>
      </c>
      <c r="F159" t="inlineStr">
        <is>
          <t>SKÅNE LÄN</t>
        </is>
      </c>
      <c r="G159" t="inlineStr">
        <is>
          <t>KLIPPAN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44988</v>
      </c>
      <c r="E160" s="1" t="n">
        <v>46248</v>
      </c>
      <c r="F160" t="inlineStr">
        <is>
          <t>SKÅNE LÄN</t>
        </is>
      </c>
      <c r="G160" t="inlineStr">
        <is>
          <t>KLIPPAN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46248</v>
      </c>
      <c r="F161" t="inlineStr">
        <is>
          <t>SKÅNE LÄN</t>
        </is>
      </c>
      <c r="G161" t="inlineStr">
        <is>
          <t>KLIPPAN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45055</v>
      </c>
      <c r="E162" s="1" t="n">
        <v>46248</v>
      </c>
      <c r="F162" t="inlineStr">
        <is>
          <t>SKÅNE LÄN</t>
        </is>
      </c>
      <c r="G162" t="inlineStr">
        <is>
          <t>KLIPPAN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46248</v>
      </c>
      <c r="F163" t="inlineStr">
        <is>
          <t>SKÅNE LÄN</t>
        </is>
      </c>
      <c r="G163" t="inlineStr">
        <is>
          <t>KLIPPAN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46248</v>
      </c>
      <c r="F164" t="inlineStr">
        <is>
          <t>SKÅNE LÄN</t>
        </is>
      </c>
      <c r="G164" t="inlineStr">
        <is>
          <t>KLIPPAN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55588-2021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44475</v>
      </c>
      <c r="E165" s="1" t="n">
        <v>46248</v>
      </c>
      <c r="F165" t="inlineStr">
        <is>
          <t>SKÅNE LÄN</t>
        </is>
      </c>
      <c r="G165" t="inlineStr">
        <is>
          <t>KLIPPAN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46248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46248</v>
      </c>
      <c r="F167" t="inlineStr">
        <is>
          <t>SKÅNE LÄN</t>
        </is>
      </c>
      <c r="G167" t="inlineStr">
        <is>
          <t>KLIPPAN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46248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46248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46248</v>
      </c>
      <c r="F170" t="inlineStr">
        <is>
          <t>SKÅNE LÄN</t>
        </is>
      </c>
      <c r="G170" t="inlineStr">
        <is>
          <t>KLIPPAN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46248</v>
      </c>
      <c r="F171" t="inlineStr">
        <is>
          <t>SKÅNE LÄN</t>
        </is>
      </c>
      <c r="G171" t="inlineStr">
        <is>
          <t>KLIPPAN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44228-2024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45573</v>
      </c>
      <c r="E172" s="1" t="n">
        <v>46248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49989-2024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46248</v>
      </c>
      <c r="F173" t="inlineStr">
        <is>
          <t>SKÅNE LÄN</t>
        </is>
      </c>
      <c r="G173" t="inlineStr">
        <is>
          <t>KLIPPAN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45072</v>
      </c>
      <c r="E174" s="1" t="n">
        <v>46248</v>
      </c>
      <c r="F174" t="inlineStr">
        <is>
          <t>SKÅNE LÄN</t>
        </is>
      </c>
      <c r="G174" t="inlineStr">
        <is>
          <t>KLIPPAN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69394-2021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46248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46248</v>
      </c>
      <c r="F176" t="inlineStr">
        <is>
          <t>SKÅNE LÄN</t>
        </is>
      </c>
      <c r="G176" t="inlineStr">
        <is>
          <t>KLIPPAN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44722</v>
      </c>
      <c r="E177" s="1" t="n">
        <v>46248</v>
      </c>
      <c r="F177" t="inlineStr">
        <is>
          <t>SKÅNE LÄN</t>
        </is>
      </c>
      <c r="G177" t="inlineStr">
        <is>
          <t>KLIPPAN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46248</v>
      </c>
      <c r="F178" t="inlineStr">
        <is>
          <t>SKÅNE LÄN</t>
        </is>
      </c>
      <c r="G178" t="inlineStr">
        <is>
          <t>KLIPPAN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45404</v>
      </c>
      <c r="E179" s="1" t="n">
        <v>46248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46248</v>
      </c>
      <c r="F180" t="inlineStr">
        <is>
          <t>SKÅNE LÄN</t>
        </is>
      </c>
      <c r="G180" t="inlineStr">
        <is>
          <t>KLIPPAN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46248</v>
      </c>
      <c r="F181" t="inlineStr">
        <is>
          <t>SKÅNE LÄN</t>
        </is>
      </c>
      <c r="G181" t="inlineStr">
        <is>
          <t>KLIPPAN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46248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46248</v>
      </c>
      <c r="F183" t="inlineStr">
        <is>
          <t>SKÅNE LÄN</t>
        </is>
      </c>
      <c r="G183" t="inlineStr">
        <is>
          <t>KLIPPAN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46248</v>
      </c>
      <c r="F184" t="inlineStr">
        <is>
          <t>SKÅNE LÄN</t>
        </is>
      </c>
      <c r="G184" t="inlineStr">
        <is>
          <t>KLIPPAN</t>
        </is>
      </c>
      <c r="I184" t="n">
        <v>17.2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46248</v>
      </c>
      <c r="F185" t="inlineStr">
        <is>
          <t>SKÅNE LÄN</t>
        </is>
      </c>
      <c r="G185" t="inlineStr">
        <is>
          <t>KLIPPAN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46248</v>
      </c>
      <c r="F186" t="inlineStr">
        <is>
          <t>SKÅNE LÄN</t>
        </is>
      </c>
      <c r="G186" t="inlineStr">
        <is>
          <t>KLIPPAN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45638</v>
      </c>
      <c r="E187" s="1" t="n">
        <v>46248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45094</v>
      </c>
      <c r="E188" s="1" t="n">
        <v>46248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45660</v>
      </c>
      <c r="E189" s="1" t="n">
        <v>46248</v>
      </c>
      <c r="F189" t="inlineStr">
        <is>
          <t>SKÅNE LÄN</t>
        </is>
      </c>
      <c r="G189" t="inlineStr">
        <is>
          <t>KLIPPAN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46248</v>
      </c>
      <c r="F190" t="inlineStr">
        <is>
          <t>SKÅNE LÄN</t>
        </is>
      </c>
      <c r="G190" t="inlineStr">
        <is>
          <t>KLIPPAN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46248</v>
      </c>
      <c r="F191" t="inlineStr">
        <is>
          <t>SKÅNE LÄN</t>
        </is>
      </c>
      <c r="G191" t="inlineStr">
        <is>
          <t>KLIPPAN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46248</v>
      </c>
      <c r="F192" t="inlineStr">
        <is>
          <t>SKÅNE LÄN</t>
        </is>
      </c>
      <c r="G192" t="inlineStr">
        <is>
          <t>KLIPPAN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46248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46248</v>
      </c>
      <c r="F194" t="inlineStr">
        <is>
          <t>SKÅNE LÄN</t>
        </is>
      </c>
      <c r="G194" t="inlineStr">
        <is>
          <t>KLIPPAN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29284-2025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45824</v>
      </c>
      <c r="E195" s="1" t="n">
        <v>46248</v>
      </c>
      <c r="F195" t="inlineStr">
        <is>
          <t>SKÅNE LÄN</t>
        </is>
      </c>
      <c r="G195" t="inlineStr">
        <is>
          <t>KLIPPAN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44855</v>
      </c>
      <c r="E196" s="1" t="n">
        <v>46248</v>
      </c>
      <c r="F196" t="inlineStr">
        <is>
          <t>SKÅNE LÄN</t>
        </is>
      </c>
      <c r="G196" t="inlineStr">
        <is>
          <t>KLIPPAN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46248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46248</v>
      </c>
      <c r="F198" t="inlineStr">
        <is>
          <t>SKÅNE LÄN</t>
        </is>
      </c>
      <c r="G198" t="inlineStr">
        <is>
          <t>KLIPPAN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46248</v>
      </c>
      <c r="F199" t="inlineStr">
        <is>
          <t>SKÅNE LÄN</t>
        </is>
      </c>
      <c r="G199" t="inlineStr">
        <is>
          <t>KLIPPAN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46248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43855-2022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44838</v>
      </c>
      <c r="E201" s="1" t="n">
        <v>46248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46248</v>
      </c>
      <c r="F202" t="inlineStr">
        <is>
          <t>SKÅNE LÄN</t>
        </is>
      </c>
      <c r="G202" t="inlineStr">
        <is>
          <t>KLIPPAN</t>
        </is>
      </c>
      <c r="H202" t="inlineStr">
        <is>
          <t>Övriga Aktiebolag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46248</v>
      </c>
      <c r="F203" t="inlineStr">
        <is>
          <t>SKÅNE LÄN</t>
        </is>
      </c>
      <c r="G203" t="inlineStr">
        <is>
          <t>KLIPPAN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46248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46248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46248</v>
      </c>
      <c r="F206" t="inlineStr">
        <is>
          <t>SKÅNE LÄN</t>
        </is>
      </c>
      <c r="G206" t="inlineStr">
        <is>
          <t>KLIPPAN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46248</v>
      </c>
      <c r="F207" t="inlineStr">
        <is>
          <t>SKÅNE LÄN</t>
        </is>
      </c>
      <c r="G207" t="inlineStr">
        <is>
          <t>KLIPPAN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45785</v>
      </c>
      <c r="E208" s="1" t="n">
        <v>46248</v>
      </c>
      <c r="F208" t="inlineStr">
        <is>
          <t>SKÅNE LÄN</t>
        </is>
      </c>
      <c r="G208" t="inlineStr">
        <is>
          <t>KLIPPAN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50357-2021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44455</v>
      </c>
      <c r="E209" s="1" t="n">
        <v>46248</v>
      </c>
      <c r="F209" t="inlineStr">
        <is>
          <t>SKÅNE LÄN</t>
        </is>
      </c>
      <c r="G209" t="inlineStr">
        <is>
          <t>KLIPPAN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46248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46248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46149</v>
      </c>
      <c r="E212" s="1" t="n">
        <v>46248</v>
      </c>
      <c r="F212" t="inlineStr">
        <is>
          <t>SKÅNE LÄN</t>
        </is>
      </c>
      <c r="G212" t="inlineStr">
        <is>
          <t>KLIPPAN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21599-2026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46248</v>
      </c>
      <c r="F213" t="inlineStr">
        <is>
          <t>SKÅNE LÄN</t>
        </is>
      </c>
      <c r="G213" t="inlineStr">
        <is>
          <t>KLIPPAN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46248</v>
      </c>
      <c r="F214" t="inlineStr">
        <is>
          <t>SKÅNE LÄN</t>
        </is>
      </c>
      <c r="G214" t="inlineStr">
        <is>
          <t>KLIPPAN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46248</v>
      </c>
      <c r="F215" t="inlineStr">
        <is>
          <t>SKÅNE LÄN</t>
        </is>
      </c>
      <c r="G215" t="inlineStr">
        <is>
          <t>KLIPPAN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46248</v>
      </c>
      <c r="F216" t="inlineStr">
        <is>
          <t>SKÅNE LÄN</t>
        </is>
      </c>
      <c r="G216" t="inlineStr">
        <is>
          <t>KLIPPAN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46248</v>
      </c>
      <c r="F217" t="inlineStr">
        <is>
          <t>SKÅNE LÄN</t>
        </is>
      </c>
      <c r="G217" t="inlineStr">
        <is>
          <t>KLIPPAN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46248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46248</v>
      </c>
      <c r="F219" t="inlineStr">
        <is>
          <t>SKÅNE LÄN</t>
        </is>
      </c>
      <c r="G219" t="inlineStr">
        <is>
          <t>KLIPPAN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45349</v>
      </c>
      <c r="E220" s="1" t="n">
        <v>46248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46248</v>
      </c>
      <c r="F221" t="inlineStr">
        <is>
          <t>SKÅNE LÄN</t>
        </is>
      </c>
      <c r="G221" t="inlineStr">
        <is>
          <t>KLIPPAN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44883</v>
      </c>
      <c r="E222" s="1" t="n">
        <v>46248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46248</v>
      </c>
      <c r="F223" t="inlineStr">
        <is>
          <t>SKÅNE LÄN</t>
        </is>
      </c>
      <c r="G223" t="inlineStr">
        <is>
          <t>KLIPPAN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46248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45096-2025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46248</v>
      </c>
      <c r="F225" t="inlineStr">
        <is>
          <t>SKÅNE LÄN</t>
        </is>
      </c>
      <c r="G225" t="inlineStr">
        <is>
          <t>KLIPPAN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46248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46248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46248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45894</v>
      </c>
      <c r="E229" s="1" t="n">
        <v>46248</v>
      </c>
      <c r="F229" t="inlineStr">
        <is>
          <t>SKÅNE LÄN</t>
        </is>
      </c>
      <c r="G229" t="inlineStr">
        <is>
          <t>KLIPPAN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51396-2025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46248</v>
      </c>
      <c r="F230" t="inlineStr">
        <is>
          <t>SKÅNE LÄN</t>
        </is>
      </c>
      <c r="G230" t="inlineStr">
        <is>
          <t>KLIPPAN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31120-2026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46216</v>
      </c>
      <c r="E231" s="1" t="n">
        <v>46248</v>
      </c>
      <c r="F231" t="inlineStr">
        <is>
          <t>SKÅNE LÄN</t>
        </is>
      </c>
      <c r="G231" t="inlineStr">
        <is>
          <t>KLIPPAN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46216</v>
      </c>
      <c r="E232" s="1" t="n">
        <v>46248</v>
      </c>
      <c r="F232" t="inlineStr">
        <is>
          <t>SKÅNE LÄN</t>
        </is>
      </c>
      <c r="G232" t="inlineStr">
        <is>
          <t>KLIPPAN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46216</v>
      </c>
      <c r="E233" s="1" t="n">
        <v>46248</v>
      </c>
      <c r="F233" t="inlineStr">
        <is>
          <t>SKÅNE LÄN</t>
        </is>
      </c>
      <c r="G233" t="inlineStr">
        <is>
          <t>KLIPPAN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46248</v>
      </c>
      <c r="F234" t="inlineStr">
        <is>
          <t>SKÅNE LÄN</t>
        </is>
      </c>
      <c r="G234" t="inlineStr">
        <is>
          <t>KLIPPAN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46248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46248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46248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46248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46168</v>
      </c>
      <c r="E239" s="1" t="n">
        <v>46248</v>
      </c>
      <c r="F239" t="inlineStr">
        <is>
          <t>SKÅNE LÄN</t>
        </is>
      </c>
      <c r="G239" t="inlineStr">
        <is>
          <t>KLIPPAN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46248</v>
      </c>
      <c r="F240" t="inlineStr">
        <is>
          <t>SKÅNE LÄN</t>
        </is>
      </c>
      <c r="G240" t="inlineStr">
        <is>
          <t>KLIPPAN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46210</v>
      </c>
      <c r="E241" s="1" t="n">
        <v>46248</v>
      </c>
      <c r="F241" t="inlineStr">
        <is>
          <t>SKÅNE LÄN</t>
        </is>
      </c>
      <c r="G241" t="inlineStr">
        <is>
          <t>KLIPPAN</t>
        </is>
      </c>
      <c r="H241" t="inlineStr">
        <is>
          <t>Övriga Aktiebolag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46248</v>
      </c>
      <c r="F242" t="inlineStr">
        <is>
          <t>SKÅNE LÄN</t>
        </is>
      </c>
      <c r="G242" t="inlineStr">
        <is>
          <t>KLIPPAN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46248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46223</v>
      </c>
      <c r="E244" s="1" t="n">
        <v>46248</v>
      </c>
      <c r="F244" t="inlineStr">
        <is>
          <t>SKÅNE LÄN</t>
        </is>
      </c>
      <c r="G244" t="inlineStr">
        <is>
          <t>KLIPPAN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46248</v>
      </c>
      <c r="F245" t="inlineStr">
        <is>
          <t>SKÅNE LÄN</t>
        </is>
      </c>
      <c r="G245" t="inlineStr">
        <is>
          <t>KLIPPAN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46248</v>
      </c>
      <c r="F246" t="inlineStr">
        <is>
          <t>SKÅNE LÄN</t>
        </is>
      </c>
      <c r="G246" t="inlineStr">
        <is>
          <t>KLIPPAN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46248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46248</v>
      </c>
      <c r="F248" t="inlineStr">
        <is>
          <t>SKÅNE LÄN</t>
        </is>
      </c>
      <c r="G248" t="inlineStr">
        <is>
          <t>KLIPPAN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46248</v>
      </c>
      <c r="F249" t="inlineStr">
        <is>
          <t>SKÅNE LÄN</t>
        </is>
      </c>
      <c r="G249" t="inlineStr">
        <is>
          <t>KLIPPAN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46198</v>
      </c>
      <c r="E250" s="1" t="n">
        <v>46248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46248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33181-2026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46245</v>
      </c>
      <c r="E252" s="1" t="n">
        <v>46248</v>
      </c>
      <c r="F252" t="inlineStr">
        <is>
          <t>SKÅNE LÄN</t>
        </is>
      </c>
      <c r="G252" t="inlineStr">
        <is>
          <t>KLIPPAN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46248</v>
      </c>
      <c r="F253" t="inlineStr">
        <is>
          <t>SKÅNE LÄN</t>
        </is>
      </c>
      <c r="G253" t="inlineStr">
        <is>
          <t>KLIPPAN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46248</v>
      </c>
      <c r="F254" t="inlineStr">
        <is>
          <t>SKÅNE LÄN</t>
        </is>
      </c>
      <c r="G254" t="inlineStr">
        <is>
          <t>KLIPPAN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46248</v>
      </c>
      <c r="F255" t="inlineStr">
        <is>
          <t>SKÅNE LÄN</t>
        </is>
      </c>
      <c r="G255" t="inlineStr">
        <is>
          <t>KLIPPAN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46248</v>
      </c>
      <c r="F256" t="inlineStr">
        <is>
          <t>SKÅNE LÄN</t>
        </is>
      </c>
      <c r="G256" t="inlineStr">
        <is>
          <t>KLIPPAN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46248</v>
      </c>
      <c r="F257" t="inlineStr">
        <is>
          <t>SKÅNE LÄN</t>
        </is>
      </c>
      <c r="G257" t="inlineStr">
        <is>
          <t>KLIPPAN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46248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46248</v>
      </c>
      <c r="F259" t="inlineStr">
        <is>
          <t>SKÅNE LÄN</t>
        </is>
      </c>
      <c r="G259" t="inlineStr">
        <is>
          <t>KLIPPAN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14774-2026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46101</v>
      </c>
      <c r="E260" s="1" t="n">
        <v>46248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46248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3541-2023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45209</v>
      </c>
      <c r="E262" s="1" t="n">
        <v>46248</v>
      </c>
      <c r="F262" t="inlineStr">
        <is>
          <t>SKÅNE LÄN</t>
        </is>
      </c>
      <c r="G262" t="inlineStr">
        <is>
          <t>KLIPPAN</t>
        </is>
      </c>
      <c r="I262" t="n">
        <v>11.8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5970-2022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44858</v>
      </c>
      <c r="E263" s="1" t="n">
        <v>46248</v>
      </c>
      <c r="F263" t="inlineStr">
        <is>
          <t>SKÅNE LÄN</t>
        </is>
      </c>
      <c r="G263" t="inlineStr">
        <is>
          <t>KLIPPAN</t>
        </is>
      </c>
      <c r="I263" t="n">
        <v>10.6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116-2023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44936</v>
      </c>
      <c r="E264" s="1" t="n">
        <v>46248</v>
      </c>
      <c r="F264" t="inlineStr">
        <is>
          <t>SKÅNE LÄN</t>
        </is>
      </c>
      <c r="G264" t="inlineStr">
        <is>
          <t>KLIPPAN</t>
        </is>
      </c>
      <c r="I264" t="n">
        <v>51.8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525-2024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45348</v>
      </c>
      <c r="E265" s="1" t="n">
        <v>46248</v>
      </c>
      <c r="F265" t="inlineStr">
        <is>
          <t>SKÅNE LÄN</t>
        </is>
      </c>
      <c r="G265" t="inlineStr">
        <is>
          <t>KLIPPAN</t>
        </is>
      </c>
      <c r="I265" t="n">
        <v>22.3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1710-2024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45434</v>
      </c>
      <c r="E266" s="1" t="n">
        <v>46248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13.4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1713-2024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45434</v>
      </c>
      <c r="E267" s="1" t="n">
        <v>46248</v>
      </c>
      <c r="F267" t="inlineStr">
        <is>
          <t>SKÅNE LÄN</t>
        </is>
      </c>
      <c r="G267" t="inlineStr">
        <is>
          <t>KLIPPAN</t>
        </is>
      </c>
      <c r="H267" t="inlineStr">
        <is>
          <t>Övriga Aktiebolag</t>
        </is>
      </c>
      <c r="I267" t="n">
        <v>12.3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3796-2024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45558</v>
      </c>
      <c r="E268" s="1" t="n">
        <v>46248</v>
      </c>
      <c r="F268" t="inlineStr">
        <is>
          <t>SKÅNE LÄN</t>
        </is>
      </c>
      <c r="G268" t="inlineStr">
        <is>
          <t>KLIPPAN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3804-2024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45558</v>
      </c>
      <c r="E269" s="1" t="n">
        <v>46248</v>
      </c>
      <c r="F269" t="inlineStr">
        <is>
          <t>SKÅNE LÄN</t>
        </is>
      </c>
      <c r="G269" t="inlineStr">
        <is>
          <t>KLIPPAN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704-2022</t>
        </is>
      </c>
      <c r="B270" t="inlineStr">
        <is>
          <t>samrådsanmälan</t>
        </is>
      </c>
      <c r="C270" t="inlineStr">
        <is>
          <t>Skogsbilväg</t>
        </is>
      </c>
      <c r="D270" s="1" t="n">
        <v>44599</v>
      </c>
      <c r="E270" s="1" t="n">
        <v>46248</v>
      </c>
      <c r="F270" t="inlineStr">
        <is>
          <t>SKÅNE LÄN</t>
        </is>
      </c>
      <c r="G270" t="inlineStr">
        <is>
          <t>KLIPPAN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2678-2022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44701</v>
      </c>
      <c r="E271" s="1" t="n">
        <v>46248</v>
      </c>
      <c r="F271" t="inlineStr">
        <is>
          <t>SKÅNE LÄN</t>
        </is>
      </c>
      <c r="G271" t="inlineStr">
        <is>
          <t>KLIPPAN</t>
        </is>
      </c>
      <c r="I271" t="n">
        <v>15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1716-2024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46248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29.5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110-2023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46248</v>
      </c>
      <c r="F273" t="inlineStr">
        <is>
          <t>SKÅNE LÄN</t>
        </is>
      </c>
      <c r="G273" t="inlineStr">
        <is>
          <t>KLIPPAN</t>
        </is>
      </c>
      <c r="I273" t="n">
        <v>26.9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4865-2022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44805</v>
      </c>
      <c r="E274" s="1" t="n">
        <v>46248</v>
      </c>
      <c r="F274" t="inlineStr">
        <is>
          <t>SKÅNE LÄN</t>
        </is>
      </c>
      <c r="G274" t="inlineStr">
        <is>
          <t>KLIPPAN</t>
        </is>
      </c>
      <c r="I274" t="n">
        <v>29.1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3792-2024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46248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2690-2022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46248</v>
      </c>
      <c r="F276" t="inlineStr">
        <is>
          <t>SKÅNE LÄN</t>
        </is>
      </c>
      <c r="G276" t="inlineStr">
        <is>
          <t>KLIPPAN</t>
        </is>
      </c>
      <c r="I276" t="n">
        <v>16.3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2225-2023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45109</v>
      </c>
      <c r="E277" s="1" t="n">
        <v>46248</v>
      </c>
      <c r="F277" t="inlineStr">
        <is>
          <t>SKÅNE LÄN</t>
        </is>
      </c>
      <c r="G277" t="inlineStr">
        <is>
          <t>KLIPPAN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5892-2022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44853</v>
      </c>
      <c r="E278" s="1" t="n">
        <v>46248</v>
      </c>
      <c r="F278" t="inlineStr">
        <is>
          <t>SKÅNE LÄN</t>
        </is>
      </c>
      <c r="G278" t="inlineStr">
        <is>
          <t>KLIPPAN</t>
        </is>
      </c>
      <c r="I278" t="n">
        <v>24.6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5986-2022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44859</v>
      </c>
      <c r="E279" s="1" t="n">
        <v>46248</v>
      </c>
      <c r="F279" t="inlineStr">
        <is>
          <t>SKÅNE LÄN</t>
        </is>
      </c>
      <c r="G279" t="inlineStr">
        <is>
          <t>KLIPPAN</t>
        </is>
      </c>
      <c r="I279" t="n">
        <v>19.6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4186-2024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45579</v>
      </c>
      <c r="E280" s="1" t="n">
        <v>46248</v>
      </c>
      <c r="F280" t="inlineStr">
        <is>
          <t>SKÅNE LÄN</t>
        </is>
      </c>
      <c r="G280" t="inlineStr">
        <is>
          <t>KLIPPAN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3806-2024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46248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1606-2025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45798</v>
      </c>
      <c r="E282" s="1" t="n">
        <v>46248</v>
      </c>
      <c r="F282" t="inlineStr">
        <is>
          <t>SKÅNE LÄN</t>
        </is>
      </c>
      <c r="G282" t="inlineStr">
        <is>
          <t>KLIPPAN</t>
        </is>
      </c>
      <c r="I282" t="n">
        <v>11.7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2907-2025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45947</v>
      </c>
      <c r="E283" s="1" t="n">
        <v>46248</v>
      </c>
      <c r="F283" t="inlineStr">
        <is>
          <t>SKÅNE LÄN</t>
        </is>
      </c>
      <c r="G283" t="inlineStr">
        <is>
          <t>KLIPPAN</t>
        </is>
      </c>
      <c r="I283" t="n">
        <v>48.2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83-2026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46034</v>
      </c>
      <c r="E284" s="1" t="n">
        <v>46248</v>
      </c>
      <c r="F284" t="inlineStr">
        <is>
          <t>SKÅNE LÄN</t>
        </is>
      </c>
      <c r="G284" t="inlineStr">
        <is>
          <t>KLIPPAN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166-2026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46044</v>
      </c>
      <c r="E285" s="1" t="n">
        <v>46248</v>
      </c>
      <c r="F285" t="inlineStr">
        <is>
          <t>SKÅNE LÄN</t>
        </is>
      </c>
      <c r="G285" t="inlineStr">
        <is>
          <t>KLIPPAN</t>
        </is>
      </c>
      <c r="H285" t="inlineStr">
        <is>
          <t>Övriga Aktiebolag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2022-2026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46210</v>
      </c>
      <c r="E286" s="1" t="n">
        <v>46248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14.3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2019-2026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46248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20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46248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2026-08-14T01:55:47Z</dcterms:created>
  <dcterms:modified xmlns:dcterms="http://purl.org/dc/terms/" xmlns:xsi="http://www.w3.org/2001/XMLSchema-instance" xsi:type="dcterms:W3CDTF">2026-08-14T01:55:47Z</dcterms:modified>
</cp:coreProperties>
</file>