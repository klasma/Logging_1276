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45720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45720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Mindre hackspett
Spillkråka
Kungsfågel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18861-2019</t>
        </is>
      </c>
      <c r="B4" s="1" t="n">
        <v>43563</v>
      </c>
      <c r="C4" s="1" t="n">
        <v>45720</v>
      </c>
      <c r="D4" t="inlineStr">
        <is>
          <t>SKÅNE LÄN</t>
        </is>
      </c>
      <c r="E4" t="inlineStr">
        <is>
          <t>KLIPPAN</t>
        </is>
      </c>
      <c r="G4" t="n">
        <v>3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Skogsduva
Trana</t>
        </is>
      </c>
      <c r="S4">
        <f>HYPERLINK("https://klasma.github.io/Logging_1276/artfynd/A 18861-2019 artfynd.xlsx", "A 18861-2019")</f>
        <v/>
      </c>
      <c r="T4">
        <f>HYPERLINK("https://klasma.github.io/Logging_1276/kartor/A 18861-2019 karta.png", "A 18861-2019")</f>
        <v/>
      </c>
      <c r="V4">
        <f>HYPERLINK("https://klasma.github.io/Logging_1276/klagomål/A 18861-2019 FSC-klagomål.docx", "A 18861-2019")</f>
        <v/>
      </c>
      <c r="W4">
        <f>HYPERLINK("https://klasma.github.io/Logging_1276/klagomålsmail/A 18861-2019 FSC-klagomål mail.docx", "A 18861-2019")</f>
        <v/>
      </c>
      <c r="X4">
        <f>HYPERLINK("https://klasma.github.io/Logging_1276/tillsyn/A 18861-2019 tillsynsbegäran.docx", "A 18861-2019")</f>
        <v/>
      </c>
      <c r="Y4">
        <f>HYPERLINK("https://klasma.github.io/Logging_1276/tillsynsmail/A 18861-2019 tillsynsbegäran mail.docx", "A 18861-2019")</f>
        <v/>
      </c>
      <c r="Z4">
        <f>HYPERLINK("https://klasma.github.io/Logging_1276/fåglar/A 18861-2019 prioriterade fågelarter.docx", "A 18861-2019")</f>
        <v/>
      </c>
    </row>
    <row r="5" ht="15" customHeight="1">
      <c r="A5" t="inlineStr">
        <is>
          <t>A 68737-2019</t>
        </is>
      </c>
      <c r="B5" s="1" t="n">
        <v>43819</v>
      </c>
      <c r="C5" s="1" t="n">
        <v>45720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68737-2019 artfynd.xlsx", "A 68737-2019")</f>
        <v/>
      </c>
      <c r="T5">
        <f>HYPERLINK("https://klasma.github.io/Logging_1276/kartor/A 68737-2019 karta.png", "A 68737-2019")</f>
        <v/>
      </c>
      <c r="V5">
        <f>HYPERLINK("https://klasma.github.io/Logging_1276/klagomål/A 68737-2019 FSC-klagomål.docx", "A 68737-2019")</f>
        <v/>
      </c>
      <c r="W5">
        <f>HYPERLINK("https://klasma.github.io/Logging_1276/klagomålsmail/A 68737-2019 FSC-klagomål mail.docx", "A 68737-2019")</f>
        <v/>
      </c>
      <c r="X5">
        <f>HYPERLINK("https://klasma.github.io/Logging_1276/tillsyn/A 68737-2019 tillsynsbegäran.docx", "A 68737-2019")</f>
        <v/>
      </c>
      <c r="Y5">
        <f>HYPERLINK("https://klasma.github.io/Logging_1276/tillsynsmail/A 68737-2019 tillsynsbegäran mail.docx", "A 68737-2019")</f>
        <v/>
      </c>
      <c r="Z5">
        <f>HYPERLINK("https://klasma.github.io/Logging_1276/fåglar/A 68737-2019 prioriterade fågelarter.docx", "A 68737-2019")</f>
        <v/>
      </c>
    </row>
    <row r="6" ht="15" customHeight="1">
      <c r="A6" t="inlineStr">
        <is>
          <t>A 37031-2022</t>
        </is>
      </c>
      <c r="B6" s="1" t="n">
        <v>44806</v>
      </c>
      <c r="C6" s="1" t="n">
        <v>45720</v>
      </c>
      <c r="D6" t="inlineStr">
        <is>
          <t>SKÅNE LÄN</t>
        </is>
      </c>
      <c r="E6" t="inlineStr">
        <is>
          <t>KLIPPAN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Dvärgkällmossa
Västlig husmossa</t>
        </is>
      </c>
      <c r="S6">
        <f>HYPERLINK("https://klasma.github.io/Logging_1276/artfynd/A 37031-2022 artfynd.xlsx", "A 37031-2022")</f>
        <v/>
      </c>
      <c r="T6">
        <f>HYPERLINK("https://klasma.github.io/Logging_1276/kartor/A 37031-2022 karta.png", "A 37031-2022")</f>
        <v/>
      </c>
      <c r="V6">
        <f>HYPERLINK("https://klasma.github.io/Logging_1276/klagomål/A 37031-2022 FSC-klagomål.docx", "A 37031-2022")</f>
        <v/>
      </c>
      <c r="W6">
        <f>HYPERLINK("https://klasma.github.io/Logging_1276/klagomålsmail/A 37031-2022 FSC-klagomål mail.docx", "A 37031-2022")</f>
        <v/>
      </c>
      <c r="X6">
        <f>HYPERLINK("https://klasma.github.io/Logging_1276/tillsyn/A 37031-2022 tillsynsbegäran.docx", "A 37031-2022")</f>
        <v/>
      </c>
      <c r="Y6">
        <f>HYPERLINK("https://klasma.github.io/Logging_1276/tillsynsmail/A 37031-2022 tillsynsbegäran mail.docx", "A 37031-2022")</f>
        <v/>
      </c>
    </row>
    <row r="7" ht="15" customHeight="1">
      <c r="A7" t="inlineStr">
        <is>
          <t>A 54644-2023</t>
        </is>
      </c>
      <c r="B7" s="1" t="n">
        <v>45235</v>
      </c>
      <c r="C7" s="1" t="n">
        <v>45720</v>
      </c>
      <c r="D7" t="inlineStr">
        <is>
          <t>SKÅNE LÄN</t>
        </is>
      </c>
      <c r="E7" t="inlineStr">
        <is>
          <t>KLIPPAN</t>
        </is>
      </c>
      <c r="G7" t="n">
        <v>9.6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Havstulpanlav
Skogsduva</t>
        </is>
      </c>
      <c r="S7">
        <f>HYPERLINK("https://klasma.github.io/Logging_1276/artfynd/A 54644-2023 artfynd.xlsx", "A 54644-2023")</f>
        <v/>
      </c>
      <c r="T7">
        <f>HYPERLINK("https://klasma.github.io/Logging_1276/kartor/A 54644-2023 karta.png", "A 54644-2023")</f>
        <v/>
      </c>
      <c r="V7">
        <f>HYPERLINK("https://klasma.github.io/Logging_1276/klagomål/A 54644-2023 FSC-klagomål.docx", "A 54644-2023")</f>
        <v/>
      </c>
      <c r="W7">
        <f>HYPERLINK("https://klasma.github.io/Logging_1276/klagomålsmail/A 54644-2023 FSC-klagomål mail.docx", "A 54644-2023")</f>
        <v/>
      </c>
      <c r="X7">
        <f>HYPERLINK("https://klasma.github.io/Logging_1276/tillsyn/A 54644-2023 tillsynsbegäran.docx", "A 54644-2023")</f>
        <v/>
      </c>
      <c r="Y7">
        <f>HYPERLINK("https://klasma.github.io/Logging_1276/tillsynsmail/A 54644-2023 tillsynsbegäran mail.docx", "A 54644-2023")</f>
        <v/>
      </c>
      <c r="Z7">
        <f>HYPERLINK("https://klasma.github.io/Logging_1276/fåglar/A 54644-2023 prioriterade fågelarter.docx", "A 54644-2023")</f>
        <v/>
      </c>
    </row>
    <row r="8" ht="15" customHeight="1">
      <c r="A8" t="inlineStr">
        <is>
          <t>A 46256-2024</t>
        </is>
      </c>
      <c r="B8" s="1" t="n">
        <v>45581</v>
      </c>
      <c r="C8" s="1" t="n">
        <v>45720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3.1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Västlig hakmossa</t>
        </is>
      </c>
      <c r="S8">
        <f>HYPERLINK("https://klasma.github.io/Logging_1276/artfynd/A 46256-2024 artfynd.xlsx", "A 46256-2024")</f>
        <v/>
      </c>
      <c r="T8">
        <f>HYPERLINK("https://klasma.github.io/Logging_1276/kartor/A 46256-2024 karta.png", "A 46256-2024")</f>
        <v/>
      </c>
      <c r="V8">
        <f>HYPERLINK("https://klasma.github.io/Logging_1276/klagomål/A 46256-2024 FSC-klagomål.docx", "A 46256-2024")</f>
        <v/>
      </c>
      <c r="W8">
        <f>HYPERLINK("https://klasma.github.io/Logging_1276/klagomålsmail/A 46256-2024 FSC-klagomål mail.docx", "A 46256-2024")</f>
        <v/>
      </c>
      <c r="X8">
        <f>HYPERLINK("https://klasma.github.io/Logging_1276/tillsyn/A 46256-2024 tillsynsbegäran.docx", "A 46256-2024")</f>
        <v/>
      </c>
      <c r="Y8">
        <f>HYPERLINK("https://klasma.github.io/Logging_1276/tillsynsmail/A 46256-2024 tillsynsbegäran mail.docx", "A 46256-2024")</f>
        <v/>
      </c>
      <c r="Z8">
        <f>HYPERLINK("https://klasma.github.io/Logging_1276/fåglar/A 46256-2024 prioriterade fågelarter.docx", "A 46256-2024")</f>
        <v/>
      </c>
    </row>
    <row r="9" ht="15" customHeight="1">
      <c r="A9" t="inlineStr">
        <is>
          <t>A 513-2025</t>
        </is>
      </c>
      <c r="B9" s="1" t="n">
        <v>45664</v>
      </c>
      <c r="C9" s="1" t="n">
        <v>45720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8.199999999999999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Revlummer</t>
        </is>
      </c>
      <c r="S9">
        <f>HYPERLINK("https://klasma.github.io/Logging_1276/artfynd/A 513-2025 artfynd.xlsx", "A 513-2025")</f>
        <v/>
      </c>
      <c r="T9">
        <f>HYPERLINK("https://klasma.github.io/Logging_1276/kartor/A 513-2025 karta.png", "A 513-2025")</f>
        <v/>
      </c>
      <c r="V9">
        <f>HYPERLINK("https://klasma.github.io/Logging_1276/klagomål/A 513-2025 FSC-klagomål.docx", "A 513-2025")</f>
        <v/>
      </c>
      <c r="W9">
        <f>HYPERLINK("https://klasma.github.io/Logging_1276/klagomålsmail/A 513-2025 FSC-klagomål mail.docx", "A 513-2025")</f>
        <v/>
      </c>
      <c r="X9">
        <f>HYPERLINK("https://klasma.github.io/Logging_1276/tillsyn/A 513-2025 tillsynsbegäran.docx", "A 513-2025")</f>
        <v/>
      </c>
      <c r="Y9">
        <f>HYPERLINK("https://klasma.github.io/Logging_1276/tillsynsmail/A 513-2025 tillsynsbegäran mail.docx", "A 513-2025")</f>
        <v/>
      </c>
      <c r="Z9">
        <f>HYPERLINK("https://klasma.github.io/Logging_1276/fåglar/A 513-2025 prioriterade fågelarter.docx", "A 513-2025")</f>
        <v/>
      </c>
    </row>
    <row r="10" ht="15" customHeight="1">
      <c r="A10" t="inlineStr">
        <is>
          <t>A 48841-2019</t>
        </is>
      </c>
      <c r="B10" s="1" t="n">
        <v>43728</v>
      </c>
      <c r="C10" s="1" t="n">
        <v>45720</v>
      </c>
      <c r="D10" t="inlineStr">
        <is>
          <t>SKÅNE LÄN</t>
        </is>
      </c>
      <c r="E10" t="inlineStr">
        <is>
          <t>KLIPPAN</t>
        </is>
      </c>
      <c r="G10" t="n">
        <v>3.4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Huggorm</t>
        </is>
      </c>
      <c r="S10">
        <f>HYPERLINK("https://klasma.github.io/Logging_1276/artfynd/A 48841-2019 artfynd.xlsx", "A 48841-2019")</f>
        <v/>
      </c>
      <c r="T10">
        <f>HYPERLINK("https://klasma.github.io/Logging_1276/kartor/A 48841-2019 karta.png", "A 48841-2019")</f>
        <v/>
      </c>
      <c r="V10">
        <f>HYPERLINK("https://klasma.github.io/Logging_1276/klagomål/A 48841-2019 FSC-klagomål.docx", "A 48841-2019")</f>
        <v/>
      </c>
      <c r="W10">
        <f>HYPERLINK("https://klasma.github.io/Logging_1276/klagomålsmail/A 48841-2019 FSC-klagomål mail.docx", "A 48841-2019")</f>
        <v/>
      </c>
      <c r="X10">
        <f>HYPERLINK("https://klasma.github.io/Logging_1276/tillsyn/A 48841-2019 tillsynsbegäran.docx", "A 48841-2019")</f>
        <v/>
      </c>
      <c r="Y10">
        <f>HYPERLINK("https://klasma.github.io/Logging_1276/tillsynsmail/A 48841-2019 tillsynsbegäran mail.docx", "A 48841-2019")</f>
        <v/>
      </c>
    </row>
    <row r="11" ht="15" customHeight="1">
      <c r="A11" t="inlineStr">
        <is>
          <t>A 11673-2022</t>
        </is>
      </c>
      <c r="B11" s="1" t="n">
        <v>44633</v>
      </c>
      <c r="C11" s="1" t="n">
        <v>45720</v>
      </c>
      <c r="D11" t="inlineStr">
        <is>
          <t>SKÅNE LÄN</t>
        </is>
      </c>
      <c r="E11" t="inlineStr">
        <is>
          <t>KLIPPAN</t>
        </is>
      </c>
      <c r="G11" t="n">
        <v>1.8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Vanlig groda</t>
        </is>
      </c>
      <c r="S11">
        <f>HYPERLINK("https://klasma.github.io/Logging_1276/artfynd/A 11673-2022 artfynd.xlsx", "A 11673-2022")</f>
        <v/>
      </c>
      <c r="T11">
        <f>HYPERLINK("https://klasma.github.io/Logging_1276/kartor/A 11673-2022 karta.png", "A 11673-2022")</f>
        <v/>
      </c>
      <c r="V11">
        <f>HYPERLINK("https://klasma.github.io/Logging_1276/klagomål/A 11673-2022 FSC-klagomål.docx", "A 11673-2022")</f>
        <v/>
      </c>
      <c r="W11">
        <f>HYPERLINK("https://klasma.github.io/Logging_1276/klagomålsmail/A 11673-2022 FSC-klagomål mail.docx", "A 11673-2022")</f>
        <v/>
      </c>
      <c r="X11">
        <f>HYPERLINK("https://klasma.github.io/Logging_1276/tillsyn/A 11673-2022 tillsynsbegäran.docx", "A 11673-2022")</f>
        <v/>
      </c>
      <c r="Y11">
        <f>HYPERLINK("https://klasma.github.io/Logging_1276/tillsynsmail/A 11673-2022 tillsynsbegäran mail.docx", "A 11673-2022")</f>
        <v/>
      </c>
      <c r="Z11">
        <f>HYPERLINK("https://klasma.github.io/Logging_1276/fåglar/A 11673-2022 prioriterade fågelarter.docx", "A 11673-2022")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45720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20702-2023</t>
        </is>
      </c>
      <c r="B13" s="1" t="n">
        <v>45058</v>
      </c>
      <c r="C13" s="1" t="n">
        <v>45720</v>
      </c>
      <c r="D13" t="inlineStr">
        <is>
          <t>SKÅNE LÄN</t>
        </is>
      </c>
      <c r="E13" t="inlineStr">
        <is>
          <t>KLIPPAN</t>
        </is>
      </c>
      <c r="G13" t="n">
        <v>5.9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Grönvit nattviol</t>
        </is>
      </c>
      <c r="S13">
        <f>HYPERLINK("https://klasma.github.io/Logging_1276/artfynd/A 20702-2023 artfynd.xlsx", "A 20702-2023")</f>
        <v/>
      </c>
      <c r="T13">
        <f>HYPERLINK("https://klasma.github.io/Logging_1276/kartor/A 20702-2023 karta.png", "A 20702-2023")</f>
        <v/>
      </c>
      <c r="V13">
        <f>HYPERLINK("https://klasma.github.io/Logging_1276/klagomål/A 20702-2023 FSC-klagomål.docx", "A 20702-2023")</f>
        <v/>
      </c>
      <c r="W13">
        <f>HYPERLINK("https://klasma.github.io/Logging_1276/klagomålsmail/A 20702-2023 FSC-klagomål mail.docx", "A 20702-2023")</f>
        <v/>
      </c>
      <c r="X13">
        <f>HYPERLINK("https://klasma.github.io/Logging_1276/tillsyn/A 20702-2023 tillsynsbegäran.docx", "A 20702-2023")</f>
        <v/>
      </c>
      <c r="Y13">
        <f>HYPERLINK("https://klasma.github.io/Logging_1276/tillsynsmail/A 20702-2023 tillsynsbegäran mail.docx", "A 20702-2023")</f>
        <v/>
      </c>
    </row>
    <row r="14" ht="15" customHeight="1">
      <c r="A14" t="inlineStr">
        <is>
          <t>A 2762-2024</t>
        </is>
      </c>
      <c r="B14" s="1" t="n">
        <v>45314</v>
      </c>
      <c r="C14" s="1" t="n">
        <v>45720</v>
      </c>
      <c r="D14" t="inlineStr">
        <is>
          <t>SKÅNE LÄN</t>
        </is>
      </c>
      <c r="E14" t="inlineStr">
        <is>
          <t>KLIPPAN</t>
        </is>
      </c>
      <c r="G14" t="n">
        <v>19.6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Entita
Spillkråka</t>
        </is>
      </c>
      <c r="S14">
        <f>HYPERLINK("https://klasma.github.io/Logging_1276/artfynd/A 2762-2024 artfynd.xlsx", "A 2762-2024")</f>
        <v/>
      </c>
      <c r="T14">
        <f>HYPERLINK("https://klasma.github.io/Logging_1276/kartor/A 2762-2024 karta.png", "A 2762-2024")</f>
        <v/>
      </c>
      <c r="V14">
        <f>HYPERLINK("https://klasma.github.io/Logging_1276/klagomål/A 2762-2024 FSC-klagomål.docx", "A 2762-2024")</f>
        <v/>
      </c>
      <c r="W14">
        <f>HYPERLINK("https://klasma.github.io/Logging_1276/klagomålsmail/A 2762-2024 FSC-klagomål mail.docx", "A 2762-2024")</f>
        <v/>
      </c>
      <c r="X14">
        <f>HYPERLINK("https://klasma.github.io/Logging_1276/tillsyn/A 2762-2024 tillsynsbegäran.docx", "A 2762-2024")</f>
        <v/>
      </c>
      <c r="Y14">
        <f>HYPERLINK("https://klasma.github.io/Logging_1276/tillsynsmail/A 2762-2024 tillsynsbegäran mail.docx", "A 2762-2024")</f>
        <v/>
      </c>
      <c r="Z14">
        <f>HYPERLINK("https://klasma.github.io/Logging_1276/fåglar/A 2762-2024 prioriterade fågelarter.docx", "A 2762-2024")</f>
        <v/>
      </c>
    </row>
    <row r="15" ht="15" customHeight="1">
      <c r="A15" t="inlineStr">
        <is>
          <t>A 37966-2024</t>
        </is>
      </c>
      <c r="B15" s="1" t="n">
        <v>45544</v>
      </c>
      <c r="C15" s="1" t="n">
        <v>45720</v>
      </c>
      <c r="D15" t="inlineStr">
        <is>
          <t>SKÅNE LÄN</t>
        </is>
      </c>
      <c r="E15" t="inlineStr">
        <is>
          <t>KLIPPAN</t>
        </is>
      </c>
      <c r="G15" t="n">
        <v>2.7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Vanlig padda</t>
        </is>
      </c>
      <c r="S15">
        <f>HYPERLINK("https://klasma.github.io/Logging_1276/artfynd/A 37966-2024 artfynd.xlsx", "A 37966-2024")</f>
        <v/>
      </c>
      <c r="T15">
        <f>HYPERLINK("https://klasma.github.io/Logging_1276/kartor/A 37966-2024 karta.png", "A 37966-2024")</f>
        <v/>
      </c>
      <c r="V15">
        <f>HYPERLINK("https://klasma.github.io/Logging_1276/klagomål/A 37966-2024 FSC-klagomål.docx", "A 37966-2024")</f>
        <v/>
      </c>
      <c r="W15">
        <f>HYPERLINK("https://klasma.github.io/Logging_1276/klagomålsmail/A 37966-2024 FSC-klagomål mail.docx", "A 37966-2024")</f>
        <v/>
      </c>
      <c r="X15">
        <f>HYPERLINK("https://klasma.github.io/Logging_1276/tillsyn/A 37966-2024 tillsynsbegäran.docx", "A 37966-2024")</f>
        <v/>
      </c>
      <c r="Y15">
        <f>HYPERLINK("https://klasma.github.io/Logging_1276/tillsynsmail/A 37966-2024 tillsynsbegäran mail.docx", "A 37966-2024")</f>
        <v/>
      </c>
    </row>
    <row r="16" ht="15" customHeight="1">
      <c r="A16" t="inlineStr">
        <is>
          <t>A 33889-2019</t>
        </is>
      </c>
      <c r="B16" s="1" t="n">
        <v>43653</v>
      </c>
      <c r="C16" s="1" t="n">
        <v>45720</v>
      </c>
      <c r="D16" t="inlineStr">
        <is>
          <t>SKÅNE LÄN</t>
        </is>
      </c>
      <c r="E16" t="inlineStr">
        <is>
          <t>KLIPPAN</t>
        </is>
      </c>
      <c r="G16" t="n">
        <v>3.7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HYPERLINK("https://klasma.github.io/Logging_1276/artfynd/A 33889-2019 artfynd.xlsx", "A 33889-2019")</f>
        <v/>
      </c>
      <c r="T16">
        <f>HYPERLINK("https://klasma.github.io/Logging_1276/kartor/A 33889-2019 karta.png", "A 33889-2019")</f>
        <v/>
      </c>
      <c r="V16">
        <f>HYPERLINK("https://klasma.github.io/Logging_1276/klagomål/A 33889-2019 FSC-klagomål.docx", "A 33889-2019")</f>
        <v/>
      </c>
      <c r="W16">
        <f>HYPERLINK("https://klasma.github.io/Logging_1276/klagomålsmail/A 33889-2019 FSC-klagomål mail.docx", "A 33889-2019")</f>
        <v/>
      </c>
      <c r="X16">
        <f>HYPERLINK("https://klasma.github.io/Logging_1276/tillsyn/A 33889-2019 tillsynsbegäran.docx", "A 33889-2019")</f>
        <v/>
      </c>
      <c r="Y16">
        <f>HYPERLINK("https://klasma.github.io/Logging_1276/tillsynsmail/A 33889-2019 tillsynsbegäran mail.docx", "A 33889-2019")</f>
        <v/>
      </c>
    </row>
    <row r="17" ht="15" customHeight="1">
      <c r="A17" t="inlineStr">
        <is>
          <t>A 30708-2021</t>
        </is>
      </c>
      <c r="B17" s="1" t="n">
        <v>44365</v>
      </c>
      <c r="C17" s="1" t="n">
        <v>45720</v>
      </c>
      <c r="D17" t="inlineStr">
        <is>
          <t>SKÅNE LÄN</t>
        </is>
      </c>
      <c r="E17" t="inlineStr">
        <is>
          <t>KLIPPAN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Koralltaggsvamp</t>
        </is>
      </c>
      <c r="S17">
        <f>HYPERLINK("https://klasma.github.io/Logging_1276/artfynd/A 30708-2021 artfynd.xlsx", "A 30708-2021")</f>
        <v/>
      </c>
      <c r="T17">
        <f>HYPERLINK("https://klasma.github.io/Logging_1276/kartor/A 30708-2021 karta.png", "A 30708-2021")</f>
        <v/>
      </c>
      <c r="V17">
        <f>HYPERLINK("https://klasma.github.io/Logging_1276/klagomål/A 30708-2021 FSC-klagomål.docx", "A 30708-2021")</f>
        <v/>
      </c>
      <c r="W17">
        <f>HYPERLINK("https://klasma.github.io/Logging_1276/klagomålsmail/A 30708-2021 FSC-klagomål mail.docx", "A 30708-2021")</f>
        <v/>
      </c>
      <c r="X17">
        <f>HYPERLINK("https://klasma.github.io/Logging_1276/tillsyn/A 30708-2021 tillsynsbegäran.docx", "A 30708-2021")</f>
        <v/>
      </c>
      <c r="Y17">
        <f>HYPERLINK("https://klasma.github.io/Logging_1276/tillsynsmail/A 30708-2021 tillsynsbegäran mail.docx", "A 30708-2021")</f>
        <v/>
      </c>
    </row>
    <row r="18" ht="15" customHeight="1">
      <c r="A18" t="inlineStr">
        <is>
          <t>A 30721-2021</t>
        </is>
      </c>
      <c r="B18" s="1" t="n">
        <v>44365</v>
      </c>
      <c r="C18" s="1" t="n">
        <v>45720</v>
      </c>
      <c r="D18" t="inlineStr">
        <is>
          <t>SKÅNE LÄN</t>
        </is>
      </c>
      <c r="E18" t="inlineStr">
        <is>
          <t>KLIPPAN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HYPERLINK("https://klasma.github.io/Logging_1276/artfynd/A 30721-2021 artfynd.xlsx", "A 30721-2021")</f>
        <v/>
      </c>
      <c r="T18">
        <f>HYPERLINK("https://klasma.github.io/Logging_1276/kartor/A 30721-2021 karta.png", "A 30721-2021")</f>
        <v/>
      </c>
      <c r="V18">
        <f>HYPERLINK("https://klasma.github.io/Logging_1276/klagomål/A 30721-2021 FSC-klagomål.docx", "A 30721-2021")</f>
        <v/>
      </c>
      <c r="W18">
        <f>HYPERLINK("https://klasma.github.io/Logging_1276/klagomålsmail/A 30721-2021 FSC-klagomål mail.docx", "A 30721-2021")</f>
        <v/>
      </c>
      <c r="X18">
        <f>HYPERLINK("https://klasma.github.io/Logging_1276/tillsyn/A 30721-2021 tillsynsbegäran.docx", "A 30721-2021")</f>
        <v/>
      </c>
      <c r="Y18">
        <f>HYPERLINK("https://klasma.github.io/Logging_1276/tillsynsmail/A 30721-2021 tillsynsbegäran mail.docx", "A 30721-2021")</f>
        <v/>
      </c>
    </row>
    <row r="19" ht="15" customHeight="1">
      <c r="A19" t="inlineStr">
        <is>
          <t>A 57968-2021</t>
        </is>
      </c>
      <c r="B19" s="1" t="n">
        <v>44487</v>
      </c>
      <c r="C19" s="1" t="n">
        <v>45720</v>
      </c>
      <c r="D19" t="inlineStr">
        <is>
          <t>SKÅNE LÄN</t>
        </is>
      </c>
      <c r="E19" t="inlineStr">
        <is>
          <t>KLIPPAN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Kösa</t>
        </is>
      </c>
      <c r="S19">
        <f>HYPERLINK("https://klasma.github.io/Logging_1276/artfynd/A 57968-2021 artfynd.xlsx", "A 57968-2021")</f>
        <v/>
      </c>
      <c r="T19">
        <f>HYPERLINK("https://klasma.github.io/Logging_1276/kartor/A 57968-2021 karta.png", "A 57968-2021")</f>
        <v/>
      </c>
      <c r="V19">
        <f>HYPERLINK("https://klasma.github.io/Logging_1276/klagomål/A 57968-2021 FSC-klagomål.docx", "A 57968-2021")</f>
        <v/>
      </c>
      <c r="W19">
        <f>HYPERLINK("https://klasma.github.io/Logging_1276/klagomålsmail/A 57968-2021 FSC-klagomål mail.docx", "A 57968-2021")</f>
        <v/>
      </c>
      <c r="X19">
        <f>HYPERLINK("https://klasma.github.io/Logging_1276/tillsyn/A 57968-2021 tillsynsbegäran.docx", "A 57968-2021")</f>
        <v/>
      </c>
      <c r="Y19">
        <f>HYPERLINK("https://klasma.github.io/Logging_1276/tillsynsmail/A 57968-2021 tillsynsbegäran mail.docx", "A 57968-2021")</f>
        <v/>
      </c>
    </row>
    <row r="20" ht="15" customHeight="1">
      <c r="A20" t="inlineStr">
        <is>
          <t>A 5732-2022</t>
        </is>
      </c>
      <c r="B20" s="1" t="n">
        <v>44596</v>
      </c>
      <c r="C20" s="1" t="n">
        <v>45720</v>
      </c>
      <c r="D20" t="inlineStr">
        <is>
          <t>SKÅNE LÄN</t>
        </is>
      </c>
      <c r="E20" t="inlineStr">
        <is>
          <t>KLIPPAN</t>
        </is>
      </c>
      <c r="G20" t="n">
        <v>6.1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HYPERLINK("https://klasma.github.io/Logging_1276/artfynd/A 5732-2022 artfynd.xlsx", "A 5732-2022")</f>
        <v/>
      </c>
      <c r="T20">
        <f>HYPERLINK("https://klasma.github.io/Logging_1276/kartor/A 5732-2022 karta.png", "A 5732-2022")</f>
        <v/>
      </c>
      <c r="V20">
        <f>HYPERLINK("https://klasma.github.io/Logging_1276/klagomål/A 5732-2022 FSC-klagomål.docx", "A 5732-2022")</f>
        <v/>
      </c>
      <c r="W20">
        <f>HYPERLINK("https://klasma.github.io/Logging_1276/klagomålsmail/A 5732-2022 FSC-klagomål mail.docx", "A 5732-2022")</f>
        <v/>
      </c>
      <c r="X20">
        <f>HYPERLINK("https://klasma.github.io/Logging_1276/tillsyn/A 5732-2022 tillsynsbegäran.docx", "A 5732-2022")</f>
        <v/>
      </c>
      <c r="Y20">
        <f>HYPERLINK("https://klasma.github.io/Logging_1276/tillsynsmail/A 5732-2022 tillsynsbegäran mail.docx", "A 5732-2022")</f>
        <v/>
      </c>
      <c r="Z20">
        <f>HYPERLINK("https://klasma.github.io/Logging_1276/fåglar/A 5732-2022 prioriterade fågelarter.docx", "A 5732-2022")</f>
        <v/>
      </c>
    </row>
    <row r="21" ht="15" customHeight="1">
      <c r="A21" t="inlineStr">
        <is>
          <t>A 14892-2023</t>
        </is>
      </c>
      <c r="B21" s="1" t="n">
        <v>45015</v>
      </c>
      <c r="C21" s="1" t="n">
        <v>45720</v>
      </c>
      <c r="D21" t="inlineStr">
        <is>
          <t>SKÅNE LÄN</t>
        </is>
      </c>
      <c r="E21" t="inlineStr">
        <is>
          <t>KLIPPAN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HYPERLINK("https://klasma.github.io/Logging_1276/artfynd/A 14892-2023 artfynd.xlsx", "A 14892-2023")</f>
        <v/>
      </c>
      <c r="T21">
        <f>HYPERLINK("https://klasma.github.io/Logging_1276/kartor/A 14892-2023 karta.png", "A 14892-2023")</f>
        <v/>
      </c>
      <c r="V21">
        <f>HYPERLINK("https://klasma.github.io/Logging_1276/klagomål/A 14892-2023 FSC-klagomål.docx", "A 14892-2023")</f>
        <v/>
      </c>
      <c r="W21">
        <f>HYPERLINK("https://klasma.github.io/Logging_1276/klagomålsmail/A 14892-2023 FSC-klagomål mail.docx", "A 14892-2023")</f>
        <v/>
      </c>
      <c r="X21">
        <f>HYPERLINK("https://klasma.github.io/Logging_1276/tillsyn/A 14892-2023 tillsynsbegäran.docx", "A 14892-2023")</f>
        <v/>
      </c>
      <c r="Y21">
        <f>HYPERLINK("https://klasma.github.io/Logging_1276/tillsynsmail/A 14892-2023 tillsynsbegäran mail.docx", "A 14892-2023")</f>
        <v/>
      </c>
      <c r="Z21">
        <f>HYPERLINK("https://klasma.github.io/Logging_1276/fåglar/A 14892-2023 prioriterade fågelarter.docx", "A 14892-2023")</f>
        <v/>
      </c>
    </row>
    <row r="22" ht="15" customHeight="1">
      <c r="A22" t="inlineStr">
        <is>
          <t>A 24650-2023</t>
        </is>
      </c>
      <c r="B22" s="1" t="n">
        <v>45084</v>
      </c>
      <c r="C22" s="1" t="n">
        <v>45720</v>
      </c>
      <c r="D22" t="inlineStr">
        <is>
          <t>SKÅNE LÄN</t>
        </is>
      </c>
      <c r="E22" t="inlineStr">
        <is>
          <t>KLIPPAN</t>
        </is>
      </c>
      <c r="F22" t="inlineStr">
        <is>
          <t>Övriga Aktiebolag</t>
        </is>
      </c>
      <c r="G22" t="n">
        <v>10.1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Kambräken</t>
        </is>
      </c>
      <c r="S22">
        <f>HYPERLINK("https://klasma.github.io/Logging_1276/artfynd/A 24650-2023 artfynd.xlsx", "A 24650-2023")</f>
        <v/>
      </c>
      <c r="T22">
        <f>HYPERLINK("https://klasma.github.io/Logging_1276/kartor/A 24650-2023 karta.png", "A 24650-2023")</f>
        <v/>
      </c>
      <c r="V22">
        <f>HYPERLINK("https://klasma.github.io/Logging_1276/klagomål/A 24650-2023 FSC-klagomål.docx", "A 24650-2023")</f>
        <v/>
      </c>
      <c r="W22">
        <f>HYPERLINK("https://klasma.github.io/Logging_1276/klagomålsmail/A 24650-2023 FSC-klagomål mail.docx", "A 24650-2023")</f>
        <v/>
      </c>
      <c r="X22">
        <f>HYPERLINK("https://klasma.github.io/Logging_1276/tillsyn/A 24650-2023 tillsynsbegäran.docx", "A 24650-2023")</f>
        <v/>
      </c>
      <c r="Y22">
        <f>HYPERLINK("https://klasma.github.io/Logging_1276/tillsynsmail/A 24650-2023 tillsynsbegäran mail.docx", "A 24650-2023")</f>
        <v/>
      </c>
    </row>
    <row r="23" ht="15" customHeight="1">
      <c r="A23" t="inlineStr">
        <is>
          <t>A 50089-2023</t>
        </is>
      </c>
      <c r="B23" s="1" t="n">
        <v>45208</v>
      </c>
      <c r="C23" s="1" t="n">
        <v>45720</v>
      </c>
      <c r="D23" t="inlineStr">
        <is>
          <t>SKÅNE LÄN</t>
        </is>
      </c>
      <c r="E23" t="inlineStr">
        <is>
          <t>KLIPPAN</t>
        </is>
      </c>
      <c r="G23" t="n">
        <v>13.6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50089-2023 artfynd.xlsx", "A 50089-2023")</f>
        <v/>
      </c>
      <c r="T23">
        <f>HYPERLINK("https://klasma.github.io/Logging_1276/kartor/A 50089-2023 karta.png", "A 50089-2023")</f>
        <v/>
      </c>
      <c r="V23">
        <f>HYPERLINK("https://klasma.github.io/Logging_1276/klagomål/A 50089-2023 FSC-klagomål.docx", "A 50089-2023")</f>
        <v/>
      </c>
      <c r="W23">
        <f>HYPERLINK("https://klasma.github.io/Logging_1276/klagomålsmail/A 50089-2023 FSC-klagomål mail.docx", "A 50089-2023")</f>
        <v/>
      </c>
      <c r="X23">
        <f>HYPERLINK("https://klasma.github.io/Logging_1276/tillsyn/A 50089-2023 tillsynsbegäran.docx", "A 50089-2023")</f>
        <v/>
      </c>
      <c r="Y23">
        <f>HYPERLINK("https://klasma.github.io/Logging_1276/tillsynsmail/A 50089-2023 tillsynsbegäran mail.docx", "A 50089-2023")</f>
        <v/>
      </c>
      <c r="Z23">
        <f>HYPERLINK("https://klasma.github.io/Logging_1276/fåglar/A 50089-2023 prioriterade fågelarter.docx", "A 50089-2023")</f>
        <v/>
      </c>
    </row>
    <row r="24" ht="15" customHeight="1">
      <c r="A24" t="inlineStr">
        <is>
          <t>A 61690-2023</t>
        </is>
      </c>
      <c r="B24" s="1" t="n">
        <v>45264</v>
      </c>
      <c r="C24" s="1" t="n">
        <v>45720</v>
      </c>
      <c r="D24" t="inlineStr">
        <is>
          <t>SKÅNE LÄN</t>
        </is>
      </c>
      <c r="E24" t="inlineStr">
        <is>
          <t>KLIPPAN</t>
        </is>
      </c>
      <c r="G24" t="n">
        <v>5.5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61690-2023 artfynd.xlsx", "A 61690-2023")</f>
        <v/>
      </c>
      <c r="T24">
        <f>HYPERLINK("https://klasma.github.io/Logging_1276/kartor/A 61690-2023 karta.png", "A 61690-2023")</f>
        <v/>
      </c>
      <c r="V24">
        <f>HYPERLINK("https://klasma.github.io/Logging_1276/klagomål/A 61690-2023 FSC-klagomål.docx", "A 61690-2023")</f>
        <v/>
      </c>
      <c r="W24">
        <f>HYPERLINK("https://klasma.github.io/Logging_1276/klagomålsmail/A 61690-2023 FSC-klagomål mail.docx", "A 61690-2023")</f>
        <v/>
      </c>
      <c r="X24">
        <f>HYPERLINK("https://klasma.github.io/Logging_1276/tillsyn/A 61690-2023 tillsynsbegäran.docx", "A 61690-2023")</f>
        <v/>
      </c>
      <c r="Y24">
        <f>HYPERLINK("https://klasma.github.io/Logging_1276/tillsynsmail/A 61690-2023 tillsynsbegäran mail.docx", "A 61690-2023")</f>
        <v/>
      </c>
      <c r="Z24">
        <f>HYPERLINK("https://klasma.github.io/Logging_1276/fåglar/A 61690-2023 prioriterade fågelarter.docx", "A 61690-2023")</f>
        <v/>
      </c>
    </row>
    <row r="25" ht="15" customHeight="1">
      <c r="A25" t="inlineStr">
        <is>
          <t>A 23403-2024</t>
        </is>
      </c>
      <c r="B25" s="1" t="n">
        <v>45453</v>
      </c>
      <c r="C25" s="1" t="n">
        <v>45720</v>
      </c>
      <c r="D25" t="inlineStr">
        <is>
          <t>SKÅNE LÄN</t>
        </is>
      </c>
      <c r="E25" t="inlineStr">
        <is>
          <t>KLIPPAN</t>
        </is>
      </c>
      <c r="G25" t="n">
        <v>9.1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Vårstarr</t>
        </is>
      </c>
      <c r="S25">
        <f>HYPERLINK("https://klasma.github.io/Logging_1276/artfynd/A 23403-2024 artfynd.xlsx", "A 23403-2024")</f>
        <v/>
      </c>
      <c r="T25">
        <f>HYPERLINK("https://klasma.github.io/Logging_1276/kartor/A 23403-2024 karta.png", "A 23403-2024")</f>
        <v/>
      </c>
      <c r="V25">
        <f>HYPERLINK("https://klasma.github.io/Logging_1276/klagomål/A 23403-2024 FSC-klagomål.docx", "A 23403-2024")</f>
        <v/>
      </c>
      <c r="W25">
        <f>HYPERLINK("https://klasma.github.io/Logging_1276/klagomålsmail/A 23403-2024 FSC-klagomål mail.docx", "A 23403-2024")</f>
        <v/>
      </c>
      <c r="X25">
        <f>HYPERLINK("https://klasma.github.io/Logging_1276/tillsyn/A 23403-2024 tillsynsbegäran.docx", "A 23403-2024")</f>
        <v/>
      </c>
      <c r="Y25">
        <f>HYPERLINK("https://klasma.github.io/Logging_1276/tillsynsmail/A 23403-2024 tillsynsbegäran mail.docx", "A 23403-2024")</f>
        <v/>
      </c>
    </row>
    <row r="26" ht="15" customHeight="1">
      <c r="A26" t="inlineStr">
        <is>
          <t>A 10000-2025</t>
        </is>
      </c>
      <c r="B26" s="1" t="n">
        <v>45719</v>
      </c>
      <c r="C26" s="1" t="n">
        <v>45720</v>
      </c>
      <c r="D26" t="inlineStr">
        <is>
          <t>SKÅNE LÄN</t>
        </is>
      </c>
      <c r="E26" t="inlineStr">
        <is>
          <t>KLIPPAN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Dvärghäxört</t>
        </is>
      </c>
      <c r="S26">
        <f>HYPERLINK("https://klasma.github.io/Logging_1276/artfynd/A 10000-2025 artfynd.xlsx", "A 10000-2025")</f>
        <v/>
      </c>
      <c r="T26">
        <f>HYPERLINK("https://klasma.github.io/Logging_1276/kartor/A 10000-2025 karta.png", "A 10000-2025")</f>
        <v/>
      </c>
      <c r="V26">
        <f>HYPERLINK("https://klasma.github.io/Logging_1276/klagomål/A 10000-2025 FSC-klagomål.docx", "A 10000-2025")</f>
        <v/>
      </c>
      <c r="W26">
        <f>HYPERLINK("https://klasma.github.io/Logging_1276/klagomålsmail/A 10000-2025 FSC-klagomål mail.docx", "A 10000-2025")</f>
        <v/>
      </c>
      <c r="X26">
        <f>HYPERLINK("https://klasma.github.io/Logging_1276/tillsyn/A 10000-2025 tillsynsbegäran.docx", "A 10000-2025")</f>
        <v/>
      </c>
      <c r="Y26">
        <f>HYPERLINK("https://klasma.github.io/Logging_1276/tillsynsmail/A 10000-2025 tillsynsbegäran mail.docx", "A 10000-2025")</f>
        <v/>
      </c>
    </row>
    <row r="27" ht="15" customHeight="1">
      <c r="A27" t="inlineStr">
        <is>
          <t>A 19334-2019</t>
        </is>
      </c>
      <c r="B27" s="1" t="n">
        <v>43565</v>
      </c>
      <c r="C27" s="1" t="n">
        <v>45720</v>
      </c>
      <c r="D27" t="inlineStr">
        <is>
          <t>SKÅNE LÄN</t>
        </is>
      </c>
      <c r="E27" t="inlineStr">
        <is>
          <t>KLIPPAN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19972-2019</t>
        </is>
      </c>
      <c r="B28" s="1" t="n">
        <v>43567</v>
      </c>
      <c r="C28" s="1" t="n">
        <v>45720</v>
      </c>
      <c r="D28" t="inlineStr">
        <is>
          <t>SKÅNE LÄN</t>
        </is>
      </c>
      <c r="E28" t="inlineStr">
        <is>
          <t>KLIPPAN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20048-2019</t>
        </is>
      </c>
      <c r="B29" s="1" t="n">
        <v>43570</v>
      </c>
      <c r="C29" s="1" t="n">
        <v>45720</v>
      </c>
      <c r="D29" t="inlineStr">
        <is>
          <t>SKÅNE LÄN</t>
        </is>
      </c>
      <c r="E29" t="inlineStr">
        <is>
          <t>KLIPPAN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21927-2019</t>
        </is>
      </c>
      <c r="B30" s="1" t="n">
        <v>43584</v>
      </c>
      <c r="C30" s="1" t="n">
        <v>45720</v>
      </c>
      <c r="D30" t="inlineStr">
        <is>
          <t>SKÅNE LÄN</t>
        </is>
      </c>
      <c r="E30" t="inlineStr">
        <is>
          <t>KLIPPAN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22118-2019</t>
        </is>
      </c>
      <c r="B31" s="1" t="n">
        <v>43585</v>
      </c>
      <c r="C31" s="1" t="n">
        <v>45720</v>
      </c>
      <c r="D31" t="inlineStr">
        <is>
          <t>SKÅNE LÄN</t>
        </is>
      </c>
      <c r="E31" t="inlineStr">
        <is>
          <t>KLIPPAN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22121-2019</t>
        </is>
      </c>
      <c r="B32" s="1" t="n">
        <v>43585</v>
      </c>
      <c r="C32" s="1" t="n">
        <v>45720</v>
      </c>
      <c r="D32" t="inlineStr">
        <is>
          <t>SKÅNE LÄN</t>
        </is>
      </c>
      <c r="E32" t="inlineStr">
        <is>
          <t>KLIPPAN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29138-2019</t>
        </is>
      </c>
      <c r="B33" s="1" t="n">
        <v>43628</v>
      </c>
      <c r="C33" s="1" t="n">
        <v>45720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29139-2019</t>
        </is>
      </c>
      <c r="B34" s="1" t="n">
        <v>43628</v>
      </c>
      <c r="C34" s="1" t="n">
        <v>45720</v>
      </c>
      <c r="D34" t="inlineStr">
        <is>
          <t>SKÅNE LÄN</t>
        </is>
      </c>
      <c r="E34" t="inlineStr">
        <is>
          <t>KLIPPAN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31669-2019</t>
        </is>
      </c>
      <c r="B35" s="1" t="n">
        <v>43642</v>
      </c>
      <c r="C35" s="1" t="n">
        <v>45720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33285-2019</t>
        </is>
      </c>
      <c r="B36" s="1" t="n">
        <v>43644</v>
      </c>
      <c r="C36" s="1" t="n">
        <v>45720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33891-2019</t>
        </is>
      </c>
      <c r="B37" s="1" t="n">
        <v>43653</v>
      </c>
      <c r="C37" s="1" t="n">
        <v>45720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33892-2019</t>
        </is>
      </c>
      <c r="B38" s="1" t="n">
        <v>43653</v>
      </c>
      <c r="C38" s="1" t="n">
        <v>45720</v>
      </c>
      <c r="D38" t="inlineStr">
        <is>
          <t>SKÅNE LÄN</t>
        </is>
      </c>
      <c r="E38" t="inlineStr">
        <is>
          <t>KLIPPAN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35252-2019</t>
        </is>
      </c>
      <c r="B39" s="1" t="n">
        <v>43656</v>
      </c>
      <c r="C39" s="1" t="n">
        <v>45720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40192-2019</t>
        </is>
      </c>
      <c r="B40" s="1" t="n">
        <v>43691</v>
      </c>
      <c r="C40" s="1" t="n">
        <v>45720</v>
      </c>
      <c r="D40" t="inlineStr">
        <is>
          <t>SKÅNE LÄN</t>
        </is>
      </c>
      <c r="E40" t="inlineStr">
        <is>
          <t>KLIPPAN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40271-2019</t>
        </is>
      </c>
      <c r="B41" s="1" t="n">
        <v>43695</v>
      </c>
      <c r="C41" s="1" t="n">
        <v>45720</v>
      </c>
      <c r="D41" t="inlineStr">
        <is>
          <t>SKÅNE LÄN</t>
        </is>
      </c>
      <c r="E41" t="inlineStr">
        <is>
          <t>KLIPPAN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42548-2019</t>
        </is>
      </c>
      <c r="B42" s="1" t="n">
        <v>43700</v>
      </c>
      <c r="C42" s="1" t="n">
        <v>45720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42554-2019</t>
        </is>
      </c>
      <c r="B43" s="1" t="n">
        <v>43700</v>
      </c>
      <c r="C43" s="1" t="n">
        <v>45720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42544-2019</t>
        </is>
      </c>
      <c r="B44" s="1" t="n">
        <v>43700</v>
      </c>
      <c r="C44" s="1" t="n">
        <v>45720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42534-2019</t>
        </is>
      </c>
      <c r="B45" s="1" t="n">
        <v>43700</v>
      </c>
      <c r="C45" s="1" t="n">
        <v>45720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42557-2019</t>
        </is>
      </c>
      <c r="B46" s="1" t="n">
        <v>43700</v>
      </c>
      <c r="C46" s="1" t="n">
        <v>45720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44456-2019</t>
        </is>
      </c>
      <c r="B47" s="1" t="n">
        <v>43706</v>
      </c>
      <c r="C47" s="1" t="n">
        <v>45720</v>
      </c>
      <c r="D47" t="inlineStr">
        <is>
          <t>SKÅNE LÄN</t>
        </is>
      </c>
      <c r="E47" t="inlineStr">
        <is>
          <t>KLIPPAN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45939-2019</t>
        </is>
      </c>
      <c r="B48" s="1" t="n">
        <v>43712</v>
      </c>
      <c r="C48" s="1" t="n">
        <v>45720</v>
      </c>
      <c r="D48" t="inlineStr">
        <is>
          <t>SKÅNE LÄN</t>
        </is>
      </c>
      <c r="E48" t="inlineStr">
        <is>
          <t>KLIPPAN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45391-2019</t>
        </is>
      </c>
      <c r="B49" s="1" t="n">
        <v>43714</v>
      </c>
      <c r="C49" s="1" t="n">
        <v>45720</v>
      </c>
      <c r="D49" t="inlineStr">
        <is>
          <t>SKÅNE LÄN</t>
        </is>
      </c>
      <c r="E49" t="inlineStr">
        <is>
          <t>KLIPPAN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45395-2019</t>
        </is>
      </c>
      <c r="B50" s="1" t="n">
        <v>43714</v>
      </c>
      <c r="C50" s="1" t="n">
        <v>45720</v>
      </c>
      <c r="D50" t="inlineStr">
        <is>
          <t>SKÅNE LÄN</t>
        </is>
      </c>
      <c r="E50" t="inlineStr">
        <is>
          <t>KLIPPAN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46342-2019</t>
        </is>
      </c>
      <c r="B51" s="1" t="n">
        <v>43718</v>
      </c>
      <c r="C51" s="1" t="n">
        <v>45720</v>
      </c>
      <c r="D51" t="inlineStr">
        <is>
          <t>SKÅNE LÄN</t>
        </is>
      </c>
      <c r="E51" t="inlineStr">
        <is>
          <t>KLIPPAN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46880-2019</t>
        </is>
      </c>
      <c r="B52" s="1" t="n">
        <v>43719</v>
      </c>
      <c r="C52" s="1" t="n">
        <v>45720</v>
      </c>
      <c r="D52" t="inlineStr">
        <is>
          <t>SKÅNE LÄN</t>
        </is>
      </c>
      <c r="E52" t="inlineStr">
        <is>
          <t>KLIPPAN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47132-2019</t>
        </is>
      </c>
      <c r="B53" s="1" t="n">
        <v>43720</v>
      </c>
      <c r="C53" s="1" t="n">
        <v>45720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47788-2019</t>
        </is>
      </c>
      <c r="B54" s="1" t="n">
        <v>43724</v>
      </c>
      <c r="C54" s="1" t="n">
        <v>45720</v>
      </c>
      <c r="D54" t="inlineStr">
        <is>
          <t>SKÅNE LÄN</t>
        </is>
      </c>
      <c r="E54" t="inlineStr">
        <is>
          <t>KLIPPAN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49077-2019</t>
        </is>
      </c>
      <c r="B55" s="1" t="n">
        <v>43731</v>
      </c>
      <c r="C55" s="1" t="n">
        <v>45720</v>
      </c>
      <c r="D55" t="inlineStr">
        <is>
          <t>SKÅNE LÄN</t>
        </is>
      </c>
      <c r="E55" t="inlineStr">
        <is>
          <t>KLIPPAN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50164-2019</t>
        </is>
      </c>
      <c r="B56" s="1" t="n">
        <v>43734</v>
      </c>
      <c r="C56" s="1" t="n">
        <v>45720</v>
      </c>
      <c r="D56" t="inlineStr">
        <is>
          <t>SKÅNE LÄN</t>
        </is>
      </c>
      <c r="E56" t="inlineStr">
        <is>
          <t>KLIPPAN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51933-2019</t>
        </is>
      </c>
      <c r="B57" s="1" t="n">
        <v>43741</v>
      </c>
      <c r="C57" s="1" t="n">
        <v>45720</v>
      </c>
      <c r="D57" t="inlineStr">
        <is>
          <t>SKÅNE LÄN</t>
        </is>
      </c>
      <c r="E57" t="inlineStr">
        <is>
          <t>KLIPPAN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56330-2019</t>
        </is>
      </c>
      <c r="B58" s="1" t="n">
        <v>43762</v>
      </c>
      <c r="C58" s="1" t="n">
        <v>45720</v>
      </c>
      <c r="D58" t="inlineStr">
        <is>
          <t>SKÅNE LÄN</t>
        </is>
      </c>
      <c r="E58" t="inlineStr">
        <is>
          <t>KLIPPAN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56473-2019</t>
        </is>
      </c>
      <c r="B59" s="1" t="n">
        <v>43762</v>
      </c>
      <c r="C59" s="1" t="n">
        <v>45720</v>
      </c>
      <c r="D59" t="inlineStr">
        <is>
          <t>SKÅNE LÄN</t>
        </is>
      </c>
      <c r="E59" t="inlineStr">
        <is>
          <t>KLIPPAN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58723-2019</t>
        </is>
      </c>
      <c r="B60" s="1" t="n">
        <v>43768</v>
      </c>
      <c r="C60" s="1" t="n">
        <v>45720</v>
      </c>
      <c r="D60" t="inlineStr">
        <is>
          <t>SKÅNE LÄN</t>
        </is>
      </c>
      <c r="E60" t="inlineStr">
        <is>
          <t>KLIPPAN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62669-2019</t>
        </is>
      </c>
      <c r="B61" s="1" t="n">
        <v>43789</v>
      </c>
      <c r="C61" s="1" t="n">
        <v>45720</v>
      </c>
      <c r="D61" t="inlineStr">
        <is>
          <t>SKÅNE LÄN</t>
        </is>
      </c>
      <c r="E61" t="inlineStr">
        <is>
          <t>KLIPPAN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65240-2019</t>
        </is>
      </c>
      <c r="B62" s="1" t="n">
        <v>43797</v>
      </c>
      <c r="C62" s="1" t="n">
        <v>45720</v>
      </c>
      <c r="D62" t="inlineStr">
        <is>
          <t>SKÅNE LÄN</t>
        </is>
      </c>
      <c r="E62" t="inlineStr">
        <is>
          <t>KLIPPAN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65672-2019</t>
        </is>
      </c>
      <c r="B63" s="1" t="n">
        <v>43804</v>
      </c>
      <c r="C63" s="1" t="n">
        <v>45720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68668-2019</t>
        </is>
      </c>
      <c r="B64" s="1" t="n">
        <v>43816</v>
      </c>
      <c r="C64" s="1" t="n">
        <v>45720</v>
      </c>
      <c r="D64" t="inlineStr">
        <is>
          <t>SKÅNE LÄN</t>
        </is>
      </c>
      <c r="E64" t="inlineStr">
        <is>
          <t>KLIPPAN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318-2020</t>
        </is>
      </c>
      <c r="B65" s="1" t="n">
        <v>43816</v>
      </c>
      <c r="C65" s="1" t="n">
        <v>45720</v>
      </c>
      <c r="D65" t="inlineStr">
        <is>
          <t>SKÅNE LÄN</t>
        </is>
      </c>
      <c r="E65" t="inlineStr">
        <is>
          <t>KLIPPAN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435-2020</t>
        </is>
      </c>
      <c r="B66" s="1" t="n">
        <v>43817</v>
      </c>
      <c r="C66" s="1" t="n">
        <v>45720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2961-2020</t>
        </is>
      </c>
      <c r="B67" s="1" t="n">
        <v>43850</v>
      </c>
      <c r="C67" s="1" t="n">
        <v>45720</v>
      </c>
      <c r="D67" t="inlineStr">
        <is>
          <t>SKÅNE LÄN</t>
        </is>
      </c>
      <c r="E67" t="inlineStr">
        <is>
          <t>KLIPPAN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5523-2020</t>
        </is>
      </c>
      <c r="B68" s="1" t="n">
        <v>43859</v>
      </c>
      <c r="C68" s="1" t="n">
        <v>45720</v>
      </c>
      <c r="D68" t="inlineStr">
        <is>
          <t>SKÅNE LÄN</t>
        </is>
      </c>
      <c r="E68" t="inlineStr">
        <is>
          <t>KLIPPAN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7997-2020</t>
        </is>
      </c>
      <c r="B69" s="1" t="n">
        <v>43873</v>
      </c>
      <c r="C69" s="1" t="n">
        <v>45720</v>
      </c>
      <c r="D69" t="inlineStr">
        <is>
          <t>SKÅNE LÄN</t>
        </is>
      </c>
      <c r="E69" t="inlineStr">
        <is>
          <t>KLIPPAN</t>
        </is>
      </c>
      <c r="F69" t="inlineStr">
        <is>
          <t>Övriga Aktiebolag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8849-2020</t>
        </is>
      </c>
      <c r="B70" s="1" t="n">
        <v>43877</v>
      </c>
      <c r="C70" s="1" t="n">
        <v>45720</v>
      </c>
      <c r="D70" t="inlineStr">
        <is>
          <t>SKÅNE LÄN</t>
        </is>
      </c>
      <c r="E70" t="inlineStr">
        <is>
          <t>KLIPPAN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8852-2020</t>
        </is>
      </c>
      <c r="B71" s="1" t="n">
        <v>43877</v>
      </c>
      <c r="C71" s="1" t="n">
        <v>45720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10992-2020</t>
        </is>
      </c>
      <c r="B72" s="1" t="n">
        <v>43889</v>
      </c>
      <c r="C72" s="1" t="n">
        <v>45720</v>
      </c>
      <c r="D72" t="inlineStr">
        <is>
          <t>SKÅNE LÄN</t>
        </is>
      </c>
      <c r="E72" t="inlineStr">
        <is>
          <t>KLIPPAN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11045-2020</t>
        </is>
      </c>
      <c r="B73" s="1" t="n">
        <v>43889</v>
      </c>
      <c r="C73" s="1" t="n">
        <v>45720</v>
      </c>
      <c r="D73" t="inlineStr">
        <is>
          <t>SKÅNE LÄN</t>
        </is>
      </c>
      <c r="E73" t="inlineStr">
        <is>
          <t>KLIPPAN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11268-2020</t>
        </is>
      </c>
      <c r="B74" s="1" t="n">
        <v>43889</v>
      </c>
      <c r="C74" s="1" t="n">
        <v>45720</v>
      </c>
      <c r="D74" t="inlineStr">
        <is>
          <t>SKÅNE LÄN</t>
        </is>
      </c>
      <c r="E74" t="inlineStr">
        <is>
          <t>KLIPPAN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11111-2020</t>
        </is>
      </c>
      <c r="B75" s="1" t="n">
        <v>43889</v>
      </c>
      <c r="C75" s="1" t="n">
        <v>45720</v>
      </c>
      <c r="D75" t="inlineStr">
        <is>
          <t>SKÅNE LÄN</t>
        </is>
      </c>
      <c r="E75" t="inlineStr">
        <is>
          <t>KLIPPAN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15271-2020</t>
        </is>
      </c>
      <c r="B76" s="1" t="n">
        <v>43913</v>
      </c>
      <c r="C76" s="1" t="n">
        <v>45720</v>
      </c>
      <c r="D76" t="inlineStr">
        <is>
          <t>SKÅNE LÄN</t>
        </is>
      </c>
      <c r="E76" t="inlineStr">
        <is>
          <t>KLIPPAN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15257-2020</t>
        </is>
      </c>
      <c r="B77" s="1" t="n">
        <v>43913</v>
      </c>
      <c r="C77" s="1" t="n">
        <v>45720</v>
      </c>
      <c r="D77" t="inlineStr">
        <is>
          <t>SKÅNE LÄN</t>
        </is>
      </c>
      <c r="E77" t="inlineStr">
        <is>
          <t>KLIPPAN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15979-2020</t>
        </is>
      </c>
      <c r="B78" s="1" t="n">
        <v>43916</v>
      </c>
      <c r="C78" s="1" t="n">
        <v>45720</v>
      </c>
      <c r="D78" t="inlineStr">
        <is>
          <t>SKÅNE LÄN</t>
        </is>
      </c>
      <c r="E78" t="inlineStr">
        <is>
          <t>KLIPPAN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16252-2020</t>
        </is>
      </c>
      <c r="B79" s="1" t="n">
        <v>43917</v>
      </c>
      <c r="C79" s="1" t="n">
        <v>45720</v>
      </c>
      <c r="D79" t="inlineStr">
        <is>
          <t>SKÅNE LÄN</t>
        </is>
      </c>
      <c r="E79" t="inlineStr">
        <is>
          <t>KLIPPAN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19795-2020</t>
        </is>
      </c>
      <c r="B80" s="1" t="n">
        <v>43942</v>
      </c>
      <c r="C80" s="1" t="n">
        <v>45720</v>
      </c>
      <c r="D80" t="inlineStr">
        <is>
          <t>SKÅNE LÄN</t>
        </is>
      </c>
      <c r="E80" t="inlineStr">
        <is>
          <t>KLIPPAN</t>
        </is>
      </c>
      <c r="F80" t="inlineStr">
        <is>
          <t>Övriga Aktiebolag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19801-2020</t>
        </is>
      </c>
      <c r="B81" s="1" t="n">
        <v>43942</v>
      </c>
      <c r="C81" s="1" t="n">
        <v>45720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12.2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20271-2020</t>
        </is>
      </c>
      <c r="B82" s="1" t="n">
        <v>43945</v>
      </c>
      <c r="C82" s="1" t="n">
        <v>45720</v>
      </c>
      <c r="D82" t="inlineStr">
        <is>
          <t>SKÅNE LÄN</t>
        </is>
      </c>
      <c r="E82" t="inlineStr">
        <is>
          <t>KLIPPAN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20305-2020</t>
        </is>
      </c>
      <c r="B83" s="1" t="n">
        <v>43945</v>
      </c>
      <c r="C83" s="1" t="n">
        <v>45720</v>
      </c>
      <c r="D83" t="inlineStr">
        <is>
          <t>SKÅNE LÄN</t>
        </is>
      </c>
      <c r="E83" t="inlineStr">
        <is>
          <t>KLIPPAN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20973-2020</t>
        </is>
      </c>
      <c r="B84" s="1" t="n">
        <v>43950</v>
      </c>
      <c r="C84" s="1" t="n">
        <v>45720</v>
      </c>
      <c r="D84" t="inlineStr">
        <is>
          <t>SKÅNE LÄN</t>
        </is>
      </c>
      <c r="E84" t="inlineStr">
        <is>
          <t>KLIPPAN</t>
        </is>
      </c>
      <c r="F84" t="inlineStr">
        <is>
          <t>Övriga Aktiebolag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21532-2020</t>
        </is>
      </c>
      <c r="B85" s="1" t="n">
        <v>43955</v>
      </c>
      <c r="C85" s="1" t="n">
        <v>45720</v>
      </c>
      <c r="D85" t="inlineStr">
        <is>
          <t>SKÅNE LÄN</t>
        </is>
      </c>
      <c r="E85" t="inlineStr">
        <is>
          <t>KLIPPAN</t>
        </is>
      </c>
      <c r="F85" t="inlineStr">
        <is>
          <t>Övriga Aktiebolag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22342-2020</t>
        </is>
      </c>
      <c r="B86" s="1" t="n">
        <v>43957</v>
      </c>
      <c r="C86" s="1" t="n">
        <v>45720</v>
      </c>
      <c r="D86" t="inlineStr">
        <is>
          <t>SKÅNE LÄN</t>
        </is>
      </c>
      <c r="E86" t="inlineStr">
        <is>
          <t>KLIPPAN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22340-2020</t>
        </is>
      </c>
      <c r="B87" s="1" t="n">
        <v>43957</v>
      </c>
      <c r="C87" s="1" t="n">
        <v>45720</v>
      </c>
      <c r="D87" t="inlineStr">
        <is>
          <t>SKÅNE LÄN</t>
        </is>
      </c>
      <c r="E87" t="inlineStr">
        <is>
          <t>KLIPPAN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22543-2020</t>
        </is>
      </c>
      <c r="B88" s="1" t="n">
        <v>43959</v>
      </c>
      <c r="C88" s="1" t="n">
        <v>45720</v>
      </c>
      <c r="D88" t="inlineStr">
        <is>
          <t>SKÅNE LÄN</t>
        </is>
      </c>
      <c r="E88" t="inlineStr">
        <is>
          <t>KLIPPAN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25599-2020</t>
        </is>
      </c>
      <c r="B89" s="1" t="n">
        <v>43983</v>
      </c>
      <c r="C89" s="1" t="n">
        <v>45720</v>
      </c>
      <c r="D89" t="inlineStr">
        <is>
          <t>SKÅNE LÄN</t>
        </is>
      </c>
      <c r="E89" t="inlineStr">
        <is>
          <t>KLIPPAN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26160-2020</t>
        </is>
      </c>
      <c r="B90" s="1" t="n">
        <v>43985</v>
      </c>
      <c r="C90" s="1" t="n">
        <v>45720</v>
      </c>
      <c r="D90" t="inlineStr">
        <is>
          <t>SKÅNE LÄN</t>
        </is>
      </c>
      <c r="E90" t="inlineStr">
        <is>
          <t>KLIPPAN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26363-2020</t>
        </is>
      </c>
      <c r="B91" s="1" t="n">
        <v>43986</v>
      </c>
      <c r="C91" s="1" t="n">
        <v>45720</v>
      </c>
      <c r="D91" t="inlineStr">
        <is>
          <t>SKÅNE LÄN</t>
        </is>
      </c>
      <c r="E91" t="inlineStr">
        <is>
          <t>KLIPPAN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26679-2020</t>
        </is>
      </c>
      <c r="B92" s="1" t="n">
        <v>43989</v>
      </c>
      <c r="C92" s="1" t="n">
        <v>45720</v>
      </c>
      <c r="D92" t="inlineStr">
        <is>
          <t>SKÅNE LÄN</t>
        </is>
      </c>
      <c r="E92" t="inlineStr">
        <is>
          <t>KLIPPAN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28126-2020</t>
        </is>
      </c>
      <c r="B93" s="1" t="n">
        <v>43994</v>
      </c>
      <c r="C93" s="1" t="n">
        <v>45720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28113-2020</t>
        </is>
      </c>
      <c r="B94" s="1" t="n">
        <v>43994</v>
      </c>
      <c r="C94" s="1" t="n">
        <v>45720</v>
      </c>
      <c r="D94" t="inlineStr">
        <is>
          <t>SKÅNE LÄN</t>
        </is>
      </c>
      <c r="E94" t="inlineStr">
        <is>
          <t>KLIPPAN</t>
        </is>
      </c>
      <c r="F94" t="inlineStr">
        <is>
          <t>Övriga Aktiebolag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31451-2020</t>
        </is>
      </c>
      <c r="B95" s="1" t="n">
        <v>44013</v>
      </c>
      <c r="C95" s="1" t="n">
        <v>45720</v>
      </c>
      <c r="D95" t="inlineStr">
        <is>
          <t>SKÅNE LÄN</t>
        </is>
      </c>
      <c r="E95" t="inlineStr">
        <is>
          <t>KLIPPAN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34038-2020</t>
        </is>
      </c>
      <c r="B96" s="1" t="n">
        <v>44028</v>
      </c>
      <c r="C96" s="1" t="n">
        <v>45720</v>
      </c>
      <c r="D96" t="inlineStr">
        <is>
          <t>SKÅNE LÄN</t>
        </is>
      </c>
      <c r="E96" t="inlineStr">
        <is>
          <t>KLIPPAN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34032-2020</t>
        </is>
      </c>
      <c r="B97" s="1" t="n">
        <v>44028</v>
      </c>
      <c r="C97" s="1" t="n">
        <v>45720</v>
      </c>
      <c r="D97" t="inlineStr">
        <is>
          <t>SKÅNE LÄN</t>
        </is>
      </c>
      <c r="E97" t="inlineStr">
        <is>
          <t>KLIPPAN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34533-2020</t>
        </is>
      </c>
      <c r="B98" s="1" t="n">
        <v>44033</v>
      </c>
      <c r="C98" s="1" t="n">
        <v>45720</v>
      </c>
      <c r="D98" t="inlineStr">
        <is>
          <t>SKÅNE LÄN</t>
        </is>
      </c>
      <c r="E98" t="inlineStr">
        <is>
          <t>KLIPPAN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35572-2020</t>
        </is>
      </c>
      <c r="B99" s="1" t="n">
        <v>44043</v>
      </c>
      <c r="C99" s="1" t="n">
        <v>45720</v>
      </c>
      <c r="D99" t="inlineStr">
        <is>
          <t>SKÅNE LÄN</t>
        </is>
      </c>
      <c r="E99" t="inlineStr">
        <is>
          <t>KLIPPAN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40041-2020</t>
        </is>
      </c>
      <c r="B100" s="1" t="n">
        <v>44067</v>
      </c>
      <c r="C100" s="1" t="n">
        <v>45720</v>
      </c>
      <c r="D100" t="inlineStr">
        <is>
          <t>SKÅNE LÄN</t>
        </is>
      </c>
      <c r="E100" t="inlineStr">
        <is>
          <t>KLIPPAN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40304-2020</t>
        </is>
      </c>
      <c r="B101" s="1" t="n">
        <v>44067</v>
      </c>
      <c r="C101" s="1" t="n">
        <v>45720</v>
      </c>
      <c r="D101" t="inlineStr">
        <is>
          <t>SKÅNE LÄN</t>
        </is>
      </c>
      <c r="E101" t="inlineStr">
        <is>
          <t>KLIPPAN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40864-2020</t>
        </is>
      </c>
      <c r="B102" s="1" t="n">
        <v>44068</v>
      </c>
      <c r="C102" s="1" t="n">
        <v>45720</v>
      </c>
      <c r="D102" t="inlineStr">
        <is>
          <t>SKÅNE LÄN</t>
        </is>
      </c>
      <c r="E102" t="inlineStr">
        <is>
          <t>KLIPPAN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42311-2020</t>
        </is>
      </c>
      <c r="B103" s="1" t="n">
        <v>44076</v>
      </c>
      <c r="C103" s="1" t="n">
        <v>45720</v>
      </c>
      <c r="D103" t="inlineStr">
        <is>
          <t>SKÅNE LÄN</t>
        </is>
      </c>
      <c r="E103" t="inlineStr">
        <is>
          <t>KLIPPAN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44297-2020</t>
        </is>
      </c>
      <c r="B104" s="1" t="n">
        <v>44082</v>
      </c>
      <c r="C104" s="1" t="n">
        <v>45720</v>
      </c>
      <c r="D104" t="inlineStr">
        <is>
          <t>SKÅNE LÄN</t>
        </is>
      </c>
      <c r="E104" t="inlineStr">
        <is>
          <t>KLIPPAN</t>
        </is>
      </c>
      <c r="F104" t="inlineStr">
        <is>
          <t>Övriga Aktiebolag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44318-2020</t>
        </is>
      </c>
      <c r="B105" s="1" t="n">
        <v>44082</v>
      </c>
      <c r="C105" s="1" t="n">
        <v>45720</v>
      </c>
      <c r="D105" t="inlineStr">
        <is>
          <t>SKÅNE LÄN</t>
        </is>
      </c>
      <c r="E105" t="inlineStr">
        <is>
          <t>KLIPPAN</t>
        </is>
      </c>
      <c r="F105" t="inlineStr">
        <is>
          <t>Övriga Aktiebolag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47245-2020</t>
        </is>
      </c>
      <c r="B106" s="1" t="n">
        <v>44097</v>
      </c>
      <c r="C106" s="1" t="n">
        <v>45720</v>
      </c>
      <c r="D106" t="inlineStr">
        <is>
          <t>SKÅNE LÄN</t>
        </is>
      </c>
      <c r="E106" t="inlineStr">
        <is>
          <t>KLIPPAN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48627-2020</t>
        </is>
      </c>
      <c r="B107" s="1" t="n">
        <v>44098</v>
      </c>
      <c r="C107" s="1" t="n">
        <v>45720</v>
      </c>
      <c r="D107" t="inlineStr">
        <is>
          <t>SKÅNE LÄN</t>
        </is>
      </c>
      <c r="E107" t="inlineStr">
        <is>
          <t>KLIPPAN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51939-2020</t>
        </is>
      </c>
      <c r="B108" s="1" t="n">
        <v>44109</v>
      </c>
      <c r="C108" s="1" t="n">
        <v>45720</v>
      </c>
      <c r="D108" t="inlineStr">
        <is>
          <t>SKÅNE LÄN</t>
        </is>
      </c>
      <c r="E108" t="inlineStr">
        <is>
          <t>KLIPPAN</t>
        </is>
      </c>
      <c r="F108" t="inlineStr">
        <is>
          <t>Övriga Aktiebolag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51046-2020</t>
        </is>
      </c>
      <c r="B109" s="1" t="n">
        <v>44112</v>
      </c>
      <c r="C109" s="1" t="n">
        <v>45720</v>
      </c>
      <c r="D109" t="inlineStr">
        <is>
          <t>SKÅNE LÄN</t>
        </is>
      </c>
      <c r="E109" t="inlineStr">
        <is>
          <t>KLIPPAN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51052-2020</t>
        </is>
      </c>
      <c r="B110" s="1" t="n">
        <v>44112</v>
      </c>
      <c r="C110" s="1" t="n">
        <v>45720</v>
      </c>
      <c r="D110" t="inlineStr">
        <is>
          <t>SKÅNE LÄN</t>
        </is>
      </c>
      <c r="E110" t="inlineStr">
        <is>
          <t>KLIPPAN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52653-2020</t>
        </is>
      </c>
      <c r="B111" s="1" t="n">
        <v>44117</v>
      </c>
      <c r="C111" s="1" t="n">
        <v>45720</v>
      </c>
      <c r="D111" t="inlineStr">
        <is>
          <t>SKÅNE LÄN</t>
        </is>
      </c>
      <c r="E111" t="inlineStr">
        <is>
          <t>KLIPPAN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58370-2020</t>
        </is>
      </c>
      <c r="B112" s="1" t="n">
        <v>44144</v>
      </c>
      <c r="C112" s="1" t="n">
        <v>45720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61038-2020</t>
        </is>
      </c>
      <c r="B113" s="1" t="n">
        <v>44154</v>
      </c>
      <c r="C113" s="1" t="n">
        <v>45720</v>
      </c>
      <c r="D113" t="inlineStr">
        <is>
          <t>SKÅNE LÄN</t>
        </is>
      </c>
      <c r="E113" t="inlineStr">
        <is>
          <t>KLIPPAN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61779-2020</t>
        </is>
      </c>
      <c r="B114" s="1" t="n">
        <v>44158</v>
      </c>
      <c r="C114" s="1" t="n">
        <v>45720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63073-2020</t>
        </is>
      </c>
      <c r="B115" s="1" t="n">
        <v>44162</v>
      </c>
      <c r="C115" s="1" t="n">
        <v>45720</v>
      </c>
      <c r="D115" t="inlineStr">
        <is>
          <t>SKÅNE LÄN</t>
        </is>
      </c>
      <c r="E115" t="inlineStr">
        <is>
          <t>KLIPPAN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63082-2020</t>
        </is>
      </c>
      <c r="B116" s="1" t="n">
        <v>44162</v>
      </c>
      <c r="C116" s="1" t="n">
        <v>45720</v>
      </c>
      <c r="D116" t="inlineStr">
        <is>
          <t>SKÅNE LÄN</t>
        </is>
      </c>
      <c r="E116" t="inlineStr">
        <is>
          <t>KLIPPAN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69609-2020</t>
        </is>
      </c>
      <c r="B117" s="1" t="n">
        <v>44195</v>
      </c>
      <c r="C117" s="1" t="n">
        <v>45720</v>
      </c>
      <c r="D117" t="inlineStr">
        <is>
          <t>SKÅNE LÄN</t>
        </is>
      </c>
      <c r="E117" t="inlineStr">
        <is>
          <t>KLIPPAN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2424-2021</t>
        </is>
      </c>
      <c r="B118" s="1" t="n">
        <v>44211</v>
      </c>
      <c r="C118" s="1" t="n">
        <v>45720</v>
      </c>
      <c r="D118" t="inlineStr">
        <is>
          <t>SKÅNE LÄN</t>
        </is>
      </c>
      <c r="E118" t="inlineStr">
        <is>
          <t>KLIPPAN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6538-2021</t>
        </is>
      </c>
      <c r="B119" s="1" t="n">
        <v>44235</v>
      </c>
      <c r="C119" s="1" t="n">
        <v>45720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8204-2021</t>
        </is>
      </c>
      <c r="B120" s="1" t="n">
        <v>44244</v>
      </c>
      <c r="C120" s="1" t="n">
        <v>45720</v>
      </c>
      <c r="D120" t="inlineStr">
        <is>
          <t>SKÅNE LÄN</t>
        </is>
      </c>
      <c r="E120" t="inlineStr">
        <is>
          <t>KLIPPAN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8680-2021</t>
        </is>
      </c>
      <c r="B121" s="1" t="n">
        <v>44245</v>
      </c>
      <c r="C121" s="1" t="n">
        <v>45720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8686-2021</t>
        </is>
      </c>
      <c r="B122" s="1" t="n">
        <v>44245</v>
      </c>
      <c r="C122" s="1" t="n">
        <v>45720</v>
      </c>
      <c r="D122" t="inlineStr">
        <is>
          <t>SKÅNE LÄN</t>
        </is>
      </c>
      <c r="E122" t="inlineStr">
        <is>
          <t>KLIPPAN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9046-2021</t>
        </is>
      </c>
      <c r="B123" s="1" t="n">
        <v>44246</v>
      </c>
      <c r="C123" s="1" t="n">
        <v>45720</v>
      </c>
      <c r="D123" t="inlineStr">
        <is>
          <t>SKÅNE LÄN</t>
        </is>
      </c>
      <c r="E123" t="inlineStr">
        <is>
          <t>KLIPPAN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9535-2021</t>
        </is>
      </c>
      <c r="B124" s="1" t="n">
        <v>44251</v>
      </c>
      <c r="C124" s="1" t="n">
        <v>45720</v>
      </c>
      <c r="D124" t="inlineStr">
        <is>
          <t>SKÅNE LÄN</t>
        </is>
      </c>
      <c r="E124" t="inlineStr">
        <is>
          <t>KLIPPAN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11105-2021</t>
        </is>
      </c>
      <c r="B125" s="1" t="n">
        <v>44259</v>
      </c>
      <c r="C125" s="1" t="n">
        <v>45720</v>
      </c>
      <c r="D125" t="inlineStr">
        <is>
          <t>SKÅNE LÄN</t>
        </is>
      </c>
      <c r="E125" t="inlineStr">
        <is>
          <t>KLIPPAN</t>
        </is>
      </c>
      <c r="F125" t="inlineStr">
        <is>
          <t>Övriga Aktiebolag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16189-2021</t>
        </is>
      </c>
      <c r="B126" s="1" t="n">
        <v>44287</v>
      </c>
      <c r="C126" s="1" t="n">
        <v>45720</v>
      </c>
      <c r="D126" t="inlineStr">
        <is>
          <t>SKÅNE LÄN</t>
        </is>
      </c>
      <c r="E126" t="inlineStr">
        <is>
          <t>KLIPPAN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17060-2021</t>
        </is>
      </c>
      <c r="B127" s="1" t="n">
        <v>44296</v>
      </c>
      <c r="C127" s="1" t="n">
        <v>45720</v>
      </c>
      <c r="D127" t="inlineStr">
        <is>
          <t>SKÅNE LÄN</t>
        </is>
      </c>
      <c r="E127" t="inlineStr">
        <is>
          <t>KLIPPAN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17792-2021</t>
        </is>
      </c>
      <c r="B128" s="1" t="n">
        <v>44300</v>
      </c>
      <c r="C128" s="1" t="n">
        <v>45720</v>
      </c>
      <c r="D128" t="inlineStr">
        <is>
          <t>SKÅNE LÄN</t>
        </is>
      </c>
      <c r="E128" t="inlineStr">
        <is>
          <t>KLIPPAN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18520-2021</t>
        </is>
      </c>
      <c r="B129" s="1" t="n">
        <v>44305</v>
      </c>
      <c r="C129" s="1" t="n">
        <v>45720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18516-2021</t>
        </is>
      </c>
      <c r="B130" s="1" t="n">
        <v>44305</v>
      </c>
      <c r="C130" s="1" t="n">
        <v>45720</v>
      </c>
      <c r="D130" t="inlineStr">
        <is>
          <t>SKÅNE LÄN</t>
        </is>
      </c>
      <c r="E130" t="inlineStr">
        <is>
          <t>KLIPPAN</t>
        </is>
      </c>
      <c r="F130" t="inlineStr">
        <is>
          <t>Övriga Aktiebolag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19823-2021</t>
        </is>
      </c>
      <c r="B131" s="1" t="n">
        <v>44309</v>
      </c>
      <c r="C131" s="1" t="n">
        <v>45720</v>
      </c>
      <c r="D131" t="inlineStr">
        <is>
          <t>SKÅNE LÄN</t>
        </is>
      </c>
      <c r="E131" t="inlineStr">
        <is>
          <t>KLIPPAN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23211-2021</t>
        </is>
      </c>
      <c r="B132" s="1" t="n">
        <v>44333</v>
      </c>
      <c r="C132" s="1" t="n">
        <v>45720</v>
      </c>
      <c r="D132" t="inlineStr">
        <is>
          <t>SKÅNE LÄN</t>
        </is>
      </c>
      <c r="E132" t="inlineStr">
        <is>
          <t>KLIPPAN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23190-2021</t>
        </is>
      </c>
      <c r="B133" s="1" t="n">
        <v>44333</v>
      </c>
      <c r="C133" s="1" t="n">
        <v>45720</v>
      </c>
      <c r="D133" t="inlineStr">
        <is>
          <t>SKÅNE LÄN</t>
        </is>
      </c>
      <c r="E133" t="inlineStr">
        <is>
          <t>KLIPPAN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27538-2021</t>
        </is>
      </c>
      <c r="B134" s="1" t="n">
        <v>44351</v>
      </c>
      <c r="C134" s="1" t="n">
        <v>45720</v>
      </c>
      <c r="D134" t="inlineStr">
        <is>
          <t>SKÅNE LÄN</t>
        </is>
      </c>
      <c r="E134" t="inlineStr">
        <is>
          <t>KLIPPAN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30195-2021</t>
        </is>
      </c>
      <c r="B135" s="1" t="n">
        <v>44363</v>
      </c>
      <c r="C135" s="1" t="n">
        <v>45720</v>
      </c>
      <c r="D135" t="inlineStr">
        <is>
          <t>SKÅNE LÄN</t>
        </is>
      </c>
      <c r="E135" t="inlineStr">
        <is>
          <t>KLIPPAN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30292-2021</t>
        </is>
      </c>
      <c r="B136" s="1" t="n">
        <v>44364</v>
      </c>
      <c r="C136" s="1" t="n">
        <v>45720</v>
      </c>
      <c r="D136" t="inlineStr">
        <is>
          <t>SKÅNE LÄN</t>
        </is>
      </c>
      <c r="E136" t="inlineStr">
        <is>
          <t>KLIPPAN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30650-2021</t>
        </is>
      </c>
      <c r="B137" s="1" t="n">
        <v>44365</v>
      </c>
      <c r="C137" s="1" t="n">
        <v>45720</v>
      </c>
      <c r="D137" t="inlineStr">
        <is>
          <t>SKÅNE LÄN</t>
        </is>
      </c>
      <c r="E137" t="inlineStr">
        <is>
          <t>KLIPPAN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30725-2021</t>
        </is>
      </c>
      <c r="B138" s="1" t="n">
        <v>44365</v>
      </c>
      <c r="C138" s="1" t="n">
        <v>45720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30738-2021</t>
        </is>
      </c>
      <c r="B139" s="1" t="n">
        <v>44365</v>
      </c>
      <c r="C139" s="1" t="n">
        <v>45720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30852-2021</t>
        </is>
      </c>
      <c r="B140" s="1" t="n">
        <v>44365</v>
      </c>
      <c r="C140" s="1" t="n">
        <v>45720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31097-2021</t>
        </is>
      </c>
      <c r="B141" s="1" t="n">
        <v>44368</v>
      </c>
      <c r="C141" s="1" t="n">
        <v>45720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31092-2021</t>
        </is>
      </c>
      <c r="B142" s="1" t="n">
        <v>44368</v>
      </c>
      <c r="C142" s="1" t="n">
        <v>45720</v>
      </c>
      <c r="D142" t="inlineStr">
        <is>
          <t>SKÅNE LÄN</t>
        </is>
      </c>
      <c r="E142" t="inlineStr">
        <is>
          <t>KLIPPAN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31893-2021</t>
        </is>
      </c>
      <c r="B143" s="1" t="n">
        <v>44370</v>
      </c>
      <c r="C143" s="1" t="n">
        <v>45720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40228-2021</t>
        </is>
      </c>
      <c r="B144" s="1" t="n">
        <v>44418</v>
      </c>
      <c r="C144" s="1" t="n">
        <v>45720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40238-2021</t>
        </is>
      </c>
      <c r="B145" s="1" t="n">
        <v>44418</v>
      </c>
      <c r="C145" s="1" t="n">
        <v>45720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40236-2021</t>
        </is>
      </c>
      <c r="B146" s="1" t="n">
        <v>44418</v>
      </c>
      <c r="C146" s="1" t="n">
        <v>45720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40241-2021</t>
        </is>
      </c>
      <c r="B147" s="1" t="n">
        <v>44418</v>
      </c>
      <c r="C147" s="1" t="n">
        <v>45720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40762-2021</t>
        </is>
      </c>
      <c r="B148" s="1" t="n">
        <v>44420</v>
      </c>
      <c r="C148" s="1" t="n">
        <v>45720</v>
      </c>
      <c r="D148" t="inlineStr">
        <is>
          <t>SKÅNE LÄN</t>
        </is>
      </c>
      <c r="E148" t="inlineStr">
        <is>
          <t>KLIPPAN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46692-2021</t>
        </is>
      </c>
      <c r="B149" s="1" t="n">
        <v>44445</v>
      </c>
      <c r="C149" s="1" t="n">
        <v>45720</v>
      </c>
      <c r="D149" t="inlineStr">
        <is>
          <t>SKÅNE LÄN</t>
        </is>
      </c>
      <c r="E149" t="inlineStr">
        <is>
          <t>KLIPPAN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47967-2021</t>
        </is>
      </c>
      <c r="B150" s="1" t="n">
        <v>44448</v>
      </c>
      <c r="C150" s="1" t="n">
        <v>45720</v>
      </c>
      <c r="D150" t="inlineStr">
        <is>
          <t>SKÅNE LÄN</t>
        </is>
      </c>
      <c r="E150" t="inlineStr">
        <is>
          <t>KLIPPAN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50357-2021</t>
        </is>
      </c>
      <c r="B151" s="1" t="n">
        <v>44455</v>
      </c>
      <c r="C151" s="1" t="n">
        <v>45720</v>
      </c>
      <c r="D151" t="inlineStr">
        <is>
          <t>SKÅNE LÄN</t>
        </is>
      </c>
      <c r="E151" t="inlineStr">
        <is>
          <t>KLIPPAN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55586-2021</t>
        </is>
      </c>
      <c r="B152" s="1" t="n">
        <v>44475</v>
      </c>
      <c r="C152" s="1" t="n">
        <v>45720</v>
      </c>
      <c r="D152" t="inlineStr">
        <is>
          <t>SKÅNE LÄN</t>
        </is>
      </c>
      <c r="E152" t="inlineStr">
        <is>
          <t>KLIPPAN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55587-2021</t>
        </is>
      </c>
      <c r="B153" s="1" t="n">
        <v>44475</v>
      </c>
      <c r="C153" s="1" t="n">
        <v>45720</v>
      </c>
      <c r="D153" t="inlineStr">
        <is>
          <t>SKÅNE LÄN</t>
        </is>
      </c>
      <c r="E153" t="inlineStr">
        <is>
          <t>KLIPPAN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55588-2021</t>
        </is>
      </c>
      <c r="B154" s="1" t="n">
        <v>44475</v>
      </c>
      <c r="C154" s="1" t="n">
        <v>45720</v>
      </c>
      <c r="D154" t="inlineStr">
        <is>
          <t>SKÅNE LÄN</t>
        </is>
      </c>
      <c r="E154" t="inlineStr">
        <is>
          <t>KLIPPAN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56089-2021</t>
        </is>
      </c>
      <c r="B155" s="1" t="n">
        <v>44477</v>
      </c>
      <c r="C155" s="1" t="n">
        <v>45720</v>
      </c>
      <c r="D155" t="inlineStr">
        <is>
          <t>SKÅNE LÄN</t>
        </is>
      </c>
      <c r="E155" t="inlineStr">
        <is>
          <t>KLIPPAN</t>
        </is>
      </c>
      <c r="G155" t="n">
        <v>20.9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57952-2021</t>
        </is>
      </c>
      <c r="B156" s="1" t="n">
        <v>44487</v>
      </c>
      <c r="C156" s="1" t="n">
        <v>45720</v>
      </c>
      <c r="D156" t="inlineStr">
        <is>
          <t>SKÅNE LÄN</t>
        </is>
      </c>
      <c r="E156" t="inlineStr">
        <is>
          <t>KLIPPAN</t>
        </is>
      </c>
      <c r="F156" t="inlineStr">
        <is>
          <t>Övriga Aktiebolag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58633-2021</t>
        </is>
      </c>
      <c r="B157" s="1" t="n">
        <v>44489</v>
      </c>
      <c r="C157" s="1" t="n">
        <v>45720</v>
      </c>
      <c r="D157" t="inlineStr">
        <is>
          <t>SKÅNE LÄN</t>
        </is>
      </c>
      <c r="E157" t="inlineStr">
        <is>
          <t>KLIPPAN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58642-2021</t>
        </is>
      </c>
      <c r="B158" s="1" t="n">
        <v>44489</v>
      </c>
      <c r="C158" s="1" t="n">
        <v>45720</v>
      </c>
      <c r="D158" t="inlineStr">
        <is>
          <t>SKÅNE LÄN</t>
        </is>
      </c>
      <c r="E158" t="inlineStr">
        <is>
          <t>KLIPPAN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59008-2021</t>
        </is>
      </c>
      <c r="B159" s="1" t="n">
        <v>44489</v>
      </c>
      <c r="C159" s="1" t="n">
        <v>45720</v>
      </c>
      <c r="D159" t="inlineStr">
        <is>
          <t>SKÅNE LÄN</t>
        </is>
      </c>
      <c r="E159" t="inlineStr">
        <is>
          <t>KLIPPAN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62644-2021</t>
        </is>
      </c>
      <c r="B160" s="1" t="n">
        <v>44503</v>
      </c>
      <c r="C160" s="1" t="n">
        <v>45720</v>
      </c>
      <c r="D160" t="inlineStr">
        <is>
          <t>SKÅNE LÄN</t>
        </is>
      </c>
      <c r="E160" t="inlineStr">
        <is>
          <t>KLIPPAN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69041-2021</t>
        </is>
      </c>
      <c r="B161" s="1" t="n">
        <v>44529</v>
      </c>
      <c r="C161" s="1" t="n">
        <v>45720</v>
      </c>
      <c r="D161" t="inlineStr">
        <is>
          <t>SKÅNE LÄN</t>
        </is>
      </c>
      <c r="E161" t="inlineStr">
        <is>
          <t>KLIPPAN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68856-2021</t>
        </is>
      </c>
      <c r="B162" s="1" t="n">
        <v>44530</v>
      </c>
      <c r="C162" s="1" t="n">
        <v>45720</v>
      </c>
      <c r="D162" t="inlineStr">
        <is>
          <t>SKÅNE LÄN</t>
        </is>
      </c>
      <c r="E162" t="inlineStr">
        <is>
          <t>KLIPPAN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69394-2021</t>
        </is>
      </c>
      <c r="B163" s="1" t="n">
        <v>44531</v>
      </c>
      <c r="C163" s="1" t="n">
        <v>45720</v>
      </c>
      <c r="D163" t="inlineStr">
        <is>
          <t>SKÅNE LÄN</t>
        </is>
      </c>
      <c r="E163" t="inlineStr">
        <is>
          <t>KLIPPAN</t>
        </is>
      </c>
      <c r="F163" t="inlineStr">
        <is>
          <t>Övriga Aktiebolag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69392-2021</t>
        </is>
      </c>
      <c r="B164" s="1" t="n">
        <v>44531</v>
      </c>
      <c r="C164" s="1" t="n">
        <v>45720</v>
      </c>
      <c r="D164" t="inlineStr">
        <is>
          <t>SKÅNE LÄN</t>
        </is>
      </c>
      <c r="E164" t="inlineStr">
        <is>
          <t>KLIPPAN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70163-2021</t>
        </is>
      </c>
      <c r="B165" s="1" t="n">
        <v>44533</v>
      </c>
      <c r="C165" s="1" t="n">
        <v>45720</v>
      </c>
      <c r="D165" t="inlineStr">
        <is>
          <t>SKÅNE LÄN</t>
        </is>
      </c>
      <c r="E165" t="inlineStr">
        <is>
          <t>KLIPPAN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1226-2022</t>
        </is>
      </c>
      <c r="B166" s="1" t="n">
        <v>44572</v>
      </c>
      <c r="C166" s="1" t="n">
        <v>45720</v>
      </c>
      <c r="D166" t="inlineStr">
        <is>
          <t>SKÅNE LÄN</t>
        </is>
      </c>
      <c r="E166" t="inlineStr">
        <is>
          <t>KLIPPAN</t>
        </is>
      </c>
      <c r="F166" t="inlineStr">
        <is>
          <t>Övriga Aktiebolag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2046-2022</t>
        </is>
      </c>
      <c r="B167" s="1" t="n">
        <v>44575</v>
      </c>
      <c r="C167" s="1" t="n">
        <v>45720</v>
      </c>
      <c r="D167" t="inlineStr">
        <is>
          <t>SKÅNE LÄN</t>
        </is>
      </c>
      <c r="E167" t="inlineStr">
        <is>
          <t>KLIPPAN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2045-2022</t>
        </is>
      </c>
      <c r="B168" s="1" t="n">
        <v>44575</v>
      </c>
      <c r="C168" s="1" t="n">
        <v>45720</v>
      </c>
      <c r="D168" t="inlineStr">
        <is>
          <t>SKÅNE LÄN</t>
        </is>
      </c>
      <c r="E168" t="inlineStr">
        <is>
          <t>KLIPPAN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5151-2022</t>
        </is>
      </c>
      <c r="B169" s="1" t="n">
        <v>44593</v>
      </c>
      <c r="C169" s="1" t="n">
        <v>45720</v>
      </c>
      <c r="D169" t="inlineStr">
        <is>
          <t>SKÅNE LÄN</t>
        </is>
      </c>
      <c r="E169" t="inlineStr">
        <is>
          <t>KLIPPAN</t>
        </is>
      </c>
      <c r="G169" t="n">
        <v>6.5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5196-2022</t>
        </is>
      </c>
      <c r="B170" s="1" t="n">
        <v>44593</v>
      </c>
      <c r="C170" s="1" t="n">
        <v>45720</v>
      </c>
      <c r="D170" t="inlineStr">
        <is>
          <t>SKÅNE LÄN</t>
        </is>
      </c>
      <c r="E170" t="inlineStr">
        <is>
          <t>KLIPPAN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5523-2022</t>
        </is>
      </c>
      <c r="B171" s="1" t="n">
        <v>44593</v>
      </c>
      <c r="C171" s="1" t="n">
        <v>45720</v>
      </c>
      <c r="D171" t="inlineStr">
        <is>
          <t>SKÅNE LÄN</t>
        </is>
      </c>
      <c r="E171" t="inlineStr">
        <is>
          <t>KLIPPAN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5183-2022</t>
        </is>
      </c>
      <c r="B172" s="1" t="n">
        <v>44593</v>
      </c>
      <c r="C172" s="1" t="n">
        <v>45720</v>
      </c>
      <c r="D172" t="inlineStr">
        <is>
          <t>SKÅNE LÄN</t>
        </is>
      </c>
      <c r="E172" t="inlineStr">
        <is>
          <t>KLIPPAN</t>
        </is>
      </c>
      <c r="G172" t="n">
        <v>11.7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5256-2022</t>
        </is>
      </c>
      <c r="B173" s="1" t="n">
        <v>44593</v>
      </c>
      <c r="C173" s="1" t="n">
        <v>45720</v>
      </c>
      <c r="D173" t="inlineStr">
        <is>
          <t>SKÅNE LÄN</t>
        </is>
      </c>
      <c r="E173" t="inlineStr">
        <is>
          <t>KLIPPAN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5557-2022</t>
        </is>
      </c>
      <c r="B174" s="1" t="n">
        <v>44593</v>
      </c>
      <c r="C174" s="1" t="n">
        <v>45720</v>
      </c>
      <c r="D174" t="inlineStr">
        <is>
          <t>SKÅNE LÄN</t>
        </is>
      </c>
      <c r="E174" t="inlineStr">
        <is>
          <t>KLIPPAN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5791-2022</t>
        </is>
      </c>
      <c r="B175" s="1" t="n">
        <v>44596</v>
      </c>
      <c r="C175" s="1" t="n">
        <v>45720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6204-2022</t>
        </is>
      </c>
      <c r="B176" s="1" t="n">
        <v>44596</v>
      </c>
      <c r="C176" s="1" t="n">
        <v>45720</v>
      </c>
      <c r="D176" t="inlineStr">
        <is>
          <t>SKÅNE LÄN</t>
        </is>
      </c>
      <c r="E176" t="inlineStr">
        <is>
          <t>KLIPPAN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7839-2022</t>
        </is>
      </c>
      <c r="B177" s="1" t="n">
        <v>44608</v>
      </c>
      <c r="C177" s="1" t="n">
        <v>45720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8017-2022</t>
        </is>
      </c>
      <c r="B178" s="1" t="n">
        <v>44609</v>
      </c>
      <c r="C178" s="1" t="n">
        <v>45720</v>
      </c>
      <c r="D178" t="inlineStr">
        <is>
          <t>SKÅNE LÄN</t>
        </is>
      </c>
      <c r="E178" t="inlineStr">
        <is>
          <t>KLIPPAN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8947-2022</t>
        </is>
      </c>
      <c r="B179" s="1" t="n">
        <v>44614</v>
      </c>
      <c r="C179" s="1" t="n">
        <v>45720</v>
      </c>
      <c r="D179" t="inlineStr">
        <is>
          <t>SKÅNE LÄN</t>
        </is>
      </c>
      <c r="E179" t="inlineStr">
        <is>
          <t>KLIPPAN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45720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10050-2022</t>
        </is>
      </c>
      <c r="B181" s="1" t="n">
        <v>44621</v>
      </c>
      <c r="C181" s="1" t="n">
        <v>45720</v>
      </c>
      <c r="D181" t="inlineStr">
        <is>
          <t>SKÅNE LÄN</t>
        </is>
      </c>
      <c r="E181" t="inlineStr">
        <is>
          <t>KLIPPAN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10055-2022</t>
        </is>
      </c>
      <c r="B182" s="1" t="n">
        <v>44621</v>
      </c>
      <c r="C182" s="1" t="n">
        <v>45720</v>
      </c>
      <c r="D182" t="inlineStr">
        <is>
          <t>SKÅNE LÄN</t>
        </is>
      </c>
      <c r="E182" t="inlineStr">
        <is>
          <t>KLIPPAN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13170-2022</t>
        </is>
      </c>
      <c r="B183" s="1" t="n">
        <v>44644</v>
      </c>
      <c r="C183" s="1" t="n">
        <v>45720</v>
      </c>
      <c r="D183" t="inlineStr">
        <is>
          <t>SKÅNE LÄN</t>
        </is>
      </c>
      <c r="E183" t="inlineStr">
        <is>
          <t>KLIPPAN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15442-2022</t>
        </is>
      </c>
      <c r="B184" s="1" t="n">
        <v>44659</v>
      </c>
      <c r="C184" s="1" t="n">
        <v>45720</v>
      </c>
      <c r="D184" t="inlineStr">
        <is>
          <t>SKÅNE LÄN</t>
        </is>
      </c>
      <c r="E184" t="inlineStr">
        <is>
          <t>KLIPPAN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15951-2022</t>
        </is>
      </c>
      <c r="B185" s="1" t="n">
        <v>44664</v>
      </c>
      <c r="C185" s="1" t="n">
        <v>45720</v>
      </c>
      <c r="D185" t="inlineStr">
        <is>
          <t>SKÅNE LÄN</t>
        </is>
      </c>
      <c r="E185" t="inlineStr">
        <is>
          <t>KLIPPAN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17425-2022</t>
        </is>
      </c>
      <c r="B186" s="1" t="n">
        <v>44679</v>
      </c>
      <c r="C186" s="1" t="n">
        <v>45720</v>
      </c>
      <c r="D186" t="inlineStr">
        <is>
          <t>SKÅNE LÄN</t>
        </is>
      </c>
      <c r="E186" t="inlineStr">
        <is>
          <t>KLIPPAN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17424-2022</t>
        </is>
      </c>
      <c r="B187" s="1" t="n">
        <v>44679</v>
      </c>
      <c r="C187" s="1" t="n">
        <v>45720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19097-2022</t>
        </is>
      </c>
      <c r="B188" s="1" t="n">
        <v>44691</v>
      </c>
      <c r="C188" s="1" t="n">
        <v>45720</v>
      </c>
      <c r="D188" t="inlineStr">
        <is>
          <t>SKÅNE LÄN</t>
        </is>
      </c>
      <c r="E188" t="inlineStr">
        <is>
          <t>KLIPPAN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19094-2022</t>
        </is>
      </c>
      <c r="B189" s="1" t="n">
        <v>44691</v>
      </c>
      <c r="C189" s="1" t="n">
        <v>45720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20002-2022</t>
        </is>
      </c>
      <c r="B190" s="1" t="n">
        <v>44697</v>
      </c>
      <c r="C190" s="1" t="n">
        <v>45720</v>
      </c>
      <c r="D190" t="inlineStr">
        <is>
          <t>SKÅNE LÄN</t>
        </is>
      </c>
      <c r="E190" t="inlineStr">
        <is>
          <t>KLIPPAN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20010-2022</t>
        </is>
      </c>
      <c r="B191" s="1" t="n">
        <v>44697</v>
      </c>
      <c r="C191" s="1" t="n">
        <v>45720</v>
      </c>
      <c r="D191" t="inlineStr">
        <is>
          <t>SKÅNE LÄN</t>
        </is>
      </c>
      <c r="E191" t="inlineStr">
        <is>
          <t>KLIPPAN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19999-2022</t>
        </is>
      </c>
      <c r="B192" s="1" t="n">
        <v>44697</v>
      </c>
      <c r="C192" s="1" t="n">
        <v>45720</v>
      </c>
      <c r="D192" t="inlineStr">
        <is>
          <t>SKÅNE LÄN</t>
        </is>
      </c>
      <c r="E192" t="inlineStr">
        <is>
          <t>KLIPPAN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20012-2022</t>
        </is>
      </c>
      <c r="B193" s="1" t="n">
        <v>44697</v>
      </c>
      <c r="C193" s="1" t="n">
        <v>45720</v>
      </c>
      <c r="D193" t="inlineStr">
        <is>
          <t>SKÅNE LÄN</t>
        </is>
      </c>
      <c r="E193" t="inlineStr">
        <is>
          <t>KLIPPAN</t>
        </is>
      </c>
      <c r="G193" t="n">
        <v>17.2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20690-2022</t>
        </is>
      </c>
      <c r="B194" s="1" t="n">
        <v>44700</v>
      </c>
      <c r="C194" s="1" t="n">
        <v>45720</v>
      </c>
      <c r="D194" t="inlineStr">
        <is>
          <t>SKÅNE LÄN</t>
        </is>
      </c>
      <c r="E194" t="inlineStr">
        <is>
          <t>KLIPPAN</t>
        </is>
      </c>
      <c r="F194" t="inlineStr">
        <is>
          <t>Kommuner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23874-2022</t>
        </is>
      </c>
      <c r="B195" s="1" t="n">
        <v>44722</v>
      </c>
      <c r="C195" s="1" t="n">
        <v>45720</v>
      </c>
      <c r="D195" t="inlineStr">
        <is>
          <t>SKÅNE LÄN</t>
        </is>
      </c>
      <c r="E195" t="inlineStr">
        <is>
          <t>KLIPPAN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23978-2022</t>
        </is>
      </c>
      <c r="B196" s="1" t="n">
        <v>44722</v>
      </c>
      <c r="C196" s="1" t="n">
        <v>45720</v>
      </c>
      <c r="D196" t="inlineStr">
        <is>
          <t>SKÅNE LÄN</t>
        </is>
      </c>
      <c r="E196" t="inlineStr">
        <is>
          <t>KLIPPAN</t>
        </is>
      </c>
      <c r="G196" t="n">
        <v>9.699999999999999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24333-2022</t>
        </is>
      </c>
      <c r="B197" s="1" t="n">
        <v>44726</v>
      </c>
      <c r="C197" s="1" t="n">
        <v>45720</v>
      </c>
      <c r="D197" t="inlineStr">
        <is>
          <t>SKÅNE LÄN</t>
        </is>
      </c>
      <c r="E197" t="inlineStr">
        <is>
          <t>KLIPPAN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24683-2022</t>
        </is>
      </c>
      <c r="B198" s="1" t="n">
        <v>44727</v>
      </c>
      <c r="C198" s="1" t="n">
        <v>45720</v>
      </c>
      <c r="D198" t="inlineStr">
        <is>
          <t>SKÅNE LÄN</t>
        </is>
      </c>
      <c r="E198" t="inlineStr">
        <is>
          <t>KLIPPAN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25405-2022</t>
        </is>
      </c>
      <c r="B199" s="1" t="n">
        <v>44732</v>
      </c>
      <c r="C199" s="1" t="n">
        <v>45720</v>
      </c>
      <c r="D199" t="inlineStr">
        <is>
          <t>SKÅNE LÄN</t>
        </is>
      </c>
      <c r="E199" t="inlineStr">
        <is>
          <t>KLIPPAN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32455-2022</t>
        </is>
      </c>
      <c r="B200" s="1" t="n">
        <v>44782</v>
      </c>
      <c r="C200" s="1" t="n">
        <v>45720</v>
      </c>
      <c r="D200" t="inlineStr">
        <is>
          <t>SKÅNE LÄN</t>
        </is>
      </c>
      <c r="E200" t="inlineStr">
        <is>
          <t>KLIPPAN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37035-2022</t>
        </is>
      </c>
      <c r="B201" s="1" t="n">
        <v>44806</v>
      </c>
      <c r="C201" s="1" t="n">
        <v>45720</v>
      </c>
      <c r="D201" t="inlineStr">
        <is>
          <t>SKÅNE LÄN</t>
        </is>
      </c>
      <c r="E201" t="inlineStr">
        <is>
          <t>KLIPPAN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37359-2022</t>
        </is>
      </c>
      <c r="B202" s="1" t="n">
        <v>44806</v>
      </c>
      <c r="C202" s="1" t="n">
        <v>45720</v>
      </c>
      <c r="D202" t="inlineStr">
        <is>
          <t>SKÅNE LÄN</t>
        </is>
      </c>
      <c r="E202" t="inlineStr">
        <is>
          <t>KLIPPAN</t>
        </is>
      </c>
      <c r="F202" t="inlineStr">
        <is>
          <t>Övriga Aktiebolag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38154-2022</t>
        </is>
      </c>
      <c r="B203" s="1" t="n">
        <v>44812</v>
      </c>
      <c r="C203" s="1" t="n">
        <v>45720</v>
      </c>
      <c r="D203" t="inlineStr">
        <is>
          <t>SKÅNE LÄN</t>
        </is>
      </c>
      <c r="E203" t="inlineStr">
        <is>
          <t>KLIPPAN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38156-2022</t>
        </is>
      </c>
      <c r="B204" s="1" t="n">
        <v>44812</v>
      </c>
      <c r="C204" s="1" t="n">
        <v>45720</v>
      </c>
      <c r="D204" t="inlineStr">
        <is>
          <t>SKÅNE LÄN</t>
        </is>
      </c>
      <c r="E204" t="inlineStr">
        <is>
          <t>KLIPPAN</t>
        </is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39056-2022</t>
        </is>
      </c>
      <c r="B205" s="1" t="n">
        <v>44816</v>
      </c>
      <c r="C205" s="1" t="n">
        <v>45720</v>
      </c>
      <c r="D205" t="inlineStr">
        <is>
          <t>SKÅNE LÄN</t>
        </is>
      </c>
      <c r="E205" t="inlineStr">
        <is>
          <t>KLIPPAN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39238-2022</t>
        </is>
      </c>
      <c r="B206" s="1" t="n">
        <v>44817</v>
      </c>
      <c r="C206" s="1" t="n">
        <v>45720</v>
      </c>
      <c r="D206" t="inlineStr">
        <is>
          <t>SKÅNE LÄN</t>
        </is>
      </c>
      <c r="E206" t="inlineStr">
        <is>
          <t>KLIPPAN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39244-2022</t>
        </is>
      </c>
      <c r="B207" s="1" t="n">
        <v>44817</v>
      </c>
      <c r="C207" s="1" t="n">
        <v>45720</v>
      </c>
      <c r="D207" t="inlineStr">
        <is>
          <t>SKÅNE LÄN</t>
        </is>
      </c>
      <c r="E207" t="inlineStr">
        <is>
          <t>KLIPPAN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40795-2022</t>
        </is>
      </c>
      <c r="B208" s="1" t="n">
        <v>44820</v>
      </c>
      <c r="C208" s="1" t="n">
        <v>45720</v>
      </c>
      <c r="D208" t="inlineStr">
        <is>
          <t>SKÅNE LÄN</t>
        </is>
      </c>
      <c r="E208" t="inlineStr">
        <is>
          <t>KLIPPAN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41272-2022</t>
        </is>
      </c>
      <c r="B209" s="1" t="n">
        <v>44825</v>
      </c>
      <c r="C209" s="1" t="n">
        <v>45720</v>
      </c>
      <c r="D209" t="inlineStr">
        <is>
          <t>SKÅNE LÄN</t>
        </is>
      </c>
      <c r="E209" t="inlineStr">
        <is>
          <t>KLIPPAN</t>
        </is>
      </c>
      <c r="F209" t="inlineStr">
        <is>
          <t>Övriga Aktiebolag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41268-2022</t>
        </is>
      </c>
      <c r="B210" s="1" t="n">
        <v>44825</v>
      </c>
      <c r="C210" s="1" t="n">
        <v>45720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41294-2022</t>
        </is>
      </c>
      <c r="B211" s="1" t="n">
        <v>44825</v>
      </c>
      <c r="C211" s="1" t="n">
        <v>45720</v>
      </c>
      <c r="D211" t="inlineStr">
        <is>
          <t>SKÅNE LÄN</t>
        </is>
      </c>
      <c r="E211" t="inlineStr">
        <is>
          <t>KLIPPAN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43692-2022</t>
        </is>
      </c>
      <c r="B212" s="1" t="n">
        <v>44837</v>
      </c>
      <c r="C212" s="1" t="n">
        <v>45720</v>
      </c>
      <c r="D212" t="inlineStr">
        <is>
          <t>SKÅNE LÄN</t>
        </is>
      </c>
      <c r="E212" t="inlineStr">
        <is>
          <t>KLIPPAN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43689-2022</t>
        </is>
      </c>
      <c r="B213" s="1" t="n">
        <v>44837</v>
      </c>
      <c r="C213" s="1" t="n">
        <v>45720</v>
      </c>
      <c r="D213" t="inlineStr">
        <is>
          <t>SKÅNE LÄN</t>
        </is>
      </c>
      <c r="E213" t="inlineStr">
        <is>
          <t>KLIPPAN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43855-2022</t>
        </is>
      </c>
      <c r="B214" s="1" t="n">
        <v>44838</v>
      </c>
      <c r="C214" s="1" t="n">
        <v>45720</v>
      </c>
      <c r="D214" t="inlineStr">
        <is>
          <t>SKÅNE LÄN</t>
        </is>
      </c>
      <c r="E214" t="inlineStr">
        <is>
          <t>KLIPPAN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44885-2022</t>
        </is>
      </c>
      <c r="B215" s="1" t="n">
        <v>44841</v>
      </c>
      <c r="C215" s="1" t="n">
        <v>45720</v>
      </c>
      <c r="D215" t="inlineStr">
        <is>
          <t>SKÅNE LÄN</t>
        </is>
      </c>
      <c r="E215" t="inlineStr">
        <is>
          <t>KLIPPAN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44891-2022</t>
        </is>
      </c>
      <c r="B216" s="1" t="n">
        <v>44841</v>
      </c>
      <c r="C216" s="1" t="n">
        <v>45720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45641-2022</t>
        </is>
      </c>
      <c r="B217" s="1" t="n">
        <v>44845</v>
      </c>
      <c r="C217" s="1" t="n">
        <v>45720</v>
      </c>
      <c r="D217" t="inlineStr">
        <is>
          <t>SKÅNE LÄN</t>
        </is>
      </c>
      <c r="E217" t="inlineStr">
        <is>
          <t>KLIPPAN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46147-2022</t>
        </is>
      </c>
      <c r="B218" s="1" t="n">
        <v>44846</v>
      </c>
      <c r="C218" s="1" t="n">
        <v>45720</v>
      </c>
      <c r="D218" t="inlineStr">
        <is>
          <t>SKÅNE LÄN</t>
        </is>
      </c>
      <c r="E218" t="inlineStr">
        <is>
          <t>KLIPPAN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47870-2022</t>
        </is>
      </c>
      <c r="B219" s="1" t="n">
        <v>44855</v>
      </c>
      <c r="C219" s="1" t="n">
        <v>45720</v>
      </c>
      <c r="D219" t="inlineStr">
        <is>
          <t>SKÅNE LÄN</t>
        </is>
      </c>
      <c r="E219" t="inlineStr">
        <is>
          <t>KLIPPAN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47869-2022</t>
        </is>
      </c>
      <c r="B220" s="1" t="n">
        <v>44855</v>
      </c>
      <c r="C220" s="1" t="n">
        <v>45720</v>
      </c>
      <c r="D220" t="inlineStr">
        <is>
          <t>SKÅNE LÄN</t>
        </is>
      </c>
      <c r="E220" t="inlineStr">
        <is>
          <t>KLIPPAN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51912-2022</t>
        </is>
      </c>
      <c r="B221" s="1" t="n">
        <v>44868</v>
      </c>
      <c r="C221" s="1" t="n">
        <v>45720</v>
      </c>
      <c r="D221" t="inlineStr">
        <is>
          <t>SKÅNE LÄN</t>
        </is>
      </c>
      <c r="E221" t="inlineStr">
        <is>
          <t>KLIPPAN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52877-2022</t>
        </is>
      </c>
      <c r="B222" s="1" t="n">
        <v>44875</v>
      </c>
      <c r="C222" s="1" t="n">
        <v>45720</v>
      </c>
      <c r="D222" t="inlineStr">
        <is>
          <t>SKÅNE LÄN</t>
        </is>
      </c>
      <c r="E222" t="inlineStr">
        <is>
          <t>KLIPPAN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53582-2022</t>
        </is>
      </c>
      <c r="B223" s="1" t="n">
        <v>44875</v>
      </c>
      <c r="C223" s="1" t="n">
        <v>45720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54110-2022</t>
        </is>
      </c>
      <c r="B224" s="1" t="n">
        <v>44879</v>
      </c>
      <c r="C224" s="1" t="n">
        <v>45720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53868-2022</t>
        </is>
      </c>
      <c r="B225" s="1" t="n">
        <v>44880</v>
      </c>
      <c r="C225" s="1" t="n">
        <v>45720</v>
      </c>
      <c r="D225" t="inlineStr">
        <is>
          <t>SKÅNE LÄN</t>
        </is>
      </c>
      <c r="E225" t="inlineStr">
        <is>
          <t>KLIPPAN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54516-2022</t>
        </is>
      </c>
      <c r="B226" s="1" t="n">
        <v>44880</v>
      </c>
      <c r="C226" s="1" t="n">
        <v>45720</v>
      </c>
      <c r="D226" t="inlineStr">
        <is>
          <t>SKÅNE LÄN</t>
        </is>
      </c>
      <c r="E226" t="inlineStr">
        <is>
          <t>KLIPPAN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54517-2022</t>
        </is>
      </c>
      <c r="B227" s="1" t="n">
        <v>44880</v>
      </c>
      <c r="C227" s="1" t="n">
        <v>45720</v>
      </c>
      <c r="D227" t="inlineStr">
        <is>
          <t>SKÅNE LÄN</t>
        </is>
      </c>
      <c r="E227" t="inlineStr">
        <is>
          <t>KLIPPAN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54348-2022</t>
        </is>
      </c>
      <c r="B228" s="1" t="n">
        <v>44882</v>
      </c>
      <c r="C228" s="1" t="n">
        <v>45720</v>
      </c>
      <c r="D228" t="inlineStr">
        <is>
          <t>SKÅNE LÄN</t>
        </is>
      </c>
      <c r="E228" t="inlineStr">
        <is>
          <t>KLIPPAN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55415-2022</t>
        </is>
      </c>
      <c r="B229" s="1" t="n">
        <v>44882</v>
      </c>
      <c r="C229" s="1" t="n">
        <v>45720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55613-2022</t>
        </is>
      </c>
      <c r="B230" s="1" t="n">
        <v>44883</v>
      </c>
      <c r="C230" s="1" t="n">
        <v>45720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55637-2022</t>
        </is>
      </c>
      <c r="B231" s="1" t="n">
        <v>44883</v>
      </c>
      <c r="C231" s="1" t="n">
        <v>45720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55629-2022</t>
        </is>
      </c>
      <c r="B232" s="1" t="n">
        <v>44883</v>
      </c>
      <c r="C232" s="1" t="n">
        <v>45720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59756-2022</t>
        </is>
      </c>
      <c r="B233" s="1" t="n">
        <v>44900</v>
      </c>
      <c r="C233" s="1" t="n">
        <v>45720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58387-2022</t>
        </is>
      </c>
      <c r="B234" s="1" t="n">
        <v>44901</v>
      </c>
      <c r="C234" s="1" t="n">
        <v>45720</v>
      </c>
      <c r="D234" t="inlineStr">
        <is>
          <t>SKÅNE LÄN</t>
        </is>
      </c>
      <c r="E234" t="inlineStr">
        <is>
          <t>KLIPPAN</t>
        </is>
      </c>
      <c r="F234" t="inlineStr">
        <is>
          <t>Kommuner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58584-2022</t>
        </is>
      </c>
      <c r="B235" s="1" t="n">
        <v>44902</v>
      </c>
      <c r="C235" s="1" t="n">
        <v>45720</v>
      </c>
      <c r="D235" t="inlineStr">
        <is>
          <t>SKÅNE LÄN</t>
        </is>
      </c>
      <c r="E235" t="inlineStr">
        <is>
          <t>KLIPPAN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60911-2022</t>
        </is>
      </c>
      <c r="B236" s="1" t="n">
        <v>44914</v>
      </c>
      <c r="C236" s="1" t="n">
        <v>45720</v>
      </c>
      <c r="D236" t="inlineStr">
        <is>
          <t>SKÅNE LÄN</t>
        </is>
      </c>
      <c r="E236" t="inlineStr">
        <is>
          <t>KLIPPAN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217-2023</t>
        </is>
      </c>
      <c r="B237" s="1" t="n">
        <v>44928</v>
      </c>
      <c r="C237" s="1" t="n">
        <v>45720</v>
      </c>
      <c r="D237" t="inlineStr">
        <is>
          <t>SKÅNE LÄN</t>
        </is>
      </c>
      <c r="E237" t="inlineStr">
        <is>
          <t>KLIPPAN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393-2023</t>
        </is>
      </c>
      <c r="B238" s="1" t="n">
        <v>44929</v>
      </c>
      <c r="C238" s="1" t="n">
        <v>45720</v>
      </c>
      <c r="D238" t="inlineStr">
        <is>
          <t>SKÅNE LÄN</t>
        </is>
      </c>
      <c r="E238" t="inlineStr">
        <is>
          <t>KLIPPAN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593-2023</t>
        </is>
      </c>
      <c r="B239" s="1" t="n">
        <v>44930</v>
      </c>
      <c r="C239" s="1" t="n">
        <v>45720</v>
      </c>
      <c r="D239" t="inlineStr">
        <is>
          <t>SKÅNE LÄN</t>
        </is>
      </c>
      <c r="E239" t="inlineStr">
        <is>
          <t>KLIPPAN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1280-2023</t>
        </is>
      </c>
      <c r="B240" s="1" t="n">
        <v>44936</v>
      </c>
      <c r="C240" s="1" t="n">
        <v>45720</v>
      </c>
      <c r="D240" t="inlineStr">
        <is>
          <t>SKÅNE LÄN</t>
        </is>
      </c>
      <c r="E240" t="inlineStr">
        <is>
          <t>KLIPPAN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2755-2023</t>
        </is>
      </c>
      <c r="B241" s="1" t="n">
        <v>44944</v>
      </c>
      <c r="C241" s="1" t="n">
        <v>45720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3198-2023</t>
        </is>
      </c>
      <c r="B242" s="1" t="n">
        <v>44944</v>
      </c>
      <c r="C242" s="1" t="n">
        <v>45720</v>
      </c>
      <c r="D242" t="inlineStr">
        <is>
          <t>SKÅNE LÄN</t>
        </is>
      </c>
      <c r="E242" t="inlineStr">
        <is>
          <t>KLIPPAN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3183-2023</t>
        </is>
      </c>
      <c r="B243" s="1" t="n">
        <v>44944</v>
      </c>
      <c r="C243" s="1" t="n">
        <v>45720</v>
      </c>
      <c r="D243" t="inlineStr">
        <is>
          <t>SKÅNE LÄN</t>
        </is>
      </c>
      <c r="E243" t="inlineStr">
        <is>
          <t>KLIPPAN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4655-2023</t>
        </is>
      </c>
      <c r="B244" s="1" t="n">
        <v>44952</v>
      </c>
      <c r="C244" s="1" t="n">
        <v>45720</v>
      </c>
      <c r="D244" t="inlineStr">
        <is>
          <t>SKÅNE LÄN</t>
        </is>
      </c>
      <c r="E244" t="inlineStr">
        <is>
          <t>KLIPPAN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4060-2023</t>
        </is>
      </c>
      <c r="B245" s="1" t="n">
        <v>44952</v>
      </c>
      <c r="C245" s="1" t="n">
        <v>45720</v>
      </c>
      <c r="D245" t="inlineStr">
        <is>
          <t>SKÅNE LÄN</t>
        </is>
      </c>
      <c r="E245" t="inlineStr">
        <is>
          <t>KLIPPAN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6248-2023</t>
        </is>
      </c>
      <c r="B246" s="1" t="n">
        <v>44965</v>
      </c>
      <c r="C246" s="1" t="n">
        <v>45720</v>
      </c>
      <c r="D246" t="inlineStr">
        <is>
          <t>SKÅNE LÄN</t>
        </is>
      </c>
      <c r="E246" t="inlineStr">
        <is>
          <t>KLIPPAN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6249-2023</t>
        </is>
      </c>
      <c r="B247" s="1" t="n">
        <v>44965</v>
      </c>
      <c r="C247" s="1" t="n">
        <v>45720</v>
      </c>
      <c r="D247" t="inlineStr">
        <is>
          <t>SKÅNE LÄN</t>
        </is>
      </c>
      <c r="E247" t="inlineStr">
        <is>
          <t>KLIPPAN</t>
        </is>
      </c>
      <c r="F247" t="inlineStr">
        <is>
          <t>Sveaskog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8500-2023</t>
        </is>
      </c>
      <c r="B248" s="1" t="n">
        <v>44977</v>
      </c>
      <c r="C248" s="1" t="n">
        <v>45720</v>
      </c>
      <c r="D248" t="inlineStr">
        <is>
          <t>SKÅNE LÄN</t>
        </is>
      </c>
      <c r="E248" t="inlineStr">
        <is>
          <t>KLIPPAN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8712-2023</t>
        </is>
      </c>
      <c r="B249" s="1" t="n">
        <v>44978</v>
      </c>
      <c r="C249" s="1" t="n">
        <v>45720</v>
      </c>
      <c r="D249" t="inlineStr">
        <is>
          <t>SKÅNE LÄN</t>
        </is>
      </c>
      <c r="E249" t="inlineStr">
        <is>
          <t>KLIPPAN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10695-2023</t>
        </is>
      </c>
      <c r="B250" s="1" t="n">
        <v>44988</v>
      </c>
      <c r="C250" s="1" t="n">
        <v>45720</v>
      </c>
      <c r="D250" t="inlineStr">
        <is>
          <t>SKÅNE LÄN</t>
        </is>
      </c>
      <c r="E250" t="inlineStr">
        <is>
          <t>KLIPPAN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11497-2023</t>
        </is>
      </c>
      <c r="B251" s="1" t="n">
        <v>44991</v>
      </c>
      <c r="C251" s="1" t="n">
        <v>45720</v>
      </c>
      <c r="D251" t="inlineStr">
        <is>
          <t>SKÅNE LÄN</t>
        </is>
      </c>
      <c r="E251" t="inlineStr">
        <is>
          <t>KLIPPAN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11705-2023</t>
        </is>
      </c>
      <c r="B252" s="1" t="n">
        <v>44992</v>
      </c>
      <c r="C252" s="1" t="n">
        <v>45720</v>
      </c>
      <c r="D252" t="inlineStr">
        <is>
          <t>SKÅNE LÄN</t>
        </is>
      </c>
      <c r="E252" t="inlineStr">
        <is>
          <t>KLIPPAN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11676-2023</t>
        </is>
      </c>
      <c r="B253" s="1" t="n">
        <v>44992</v>
      </c>
      <c r="C253" s="1" t="n">
        <v>45720</v>
      </c>
      <c r="D253" t="inlineStr">
        <is>
          <t>SKÅNE LÄN</t>
        </is>
      </c>
      <c r="E253" t="inlineStr">
        <is>
          <t>KLIPPAN</t>
        </is>
      </c>
      <c r="F253" t="inlineStr">
        <is>
          <t>Övriga Aktiebolag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11335-2023</t>
        </is>
      </c>
      <c r="B254" s="1" t="n">
        <v>44993</v>
      </c>
      <c r="C254" s="1" t="n">
        <v>45720</v>
      </c>
      <c r="D254" t="inlineStr">
        <is>
          <t>SKÅNE LÄN</t>
        </is>
      </c>
      <c r="E254" t="inlineStr">
        <is>
          <t>KLIPPAN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12725-2023</t>
        </is>
      </c>
      <c r="B255" s="1" t="n">
        <v>45000</v>
      </c>
      <c r="C255" s="1" t="n">
        <v>45720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13363-2023</t>
        </is>
      </c>
      <c r="B256" s="1" t="n">
        <v>45005</v>
      </c>
      <c r="C256" s="1" t="n">
        <v>45720</v>
      </c>
      <c r="D256" t="inlineStr">
        <is>
          <t>SKÅNE LÄN</t>
        </is>
      </c>
      <c r="E256" t="inlineStr">
        <is>
          <t>KLIPPAN</t>
        </is>
      </c>
      <c r="F256" t="inlineStr">
        <is>
          <t>Övriga Aktiebolag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13420-2023</t>
        </is>
      </c>
      <c r="B257" s="1" t="n">
        <v>45005</v>
      </c>
      <c r="C257" s="1" t="n">
        <v>45720</v>
      </c>
      <c r="D257" t="inlineStr">
        <is>
          <t>SKÅNE LÄN</t>
        </is>
      </c>
      <c r="E257" t="inlineStr">
        <is>
          <t>KLIPPAN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14444-2023</t>
        </is>
      </c>
      <c r="B258" s="1" t="n">
        <v>45012</v>
      </c>
      <c r="C258" s="1" t="n">
        <v>45720</v>
      </c>
      <c r="D258" t="inlineStr">
        <is>
          <t>SKÅNE LÄN</t>
        </is>
      </c>
      <c r="E258" t="inlineStr">
        <is>
          <t>KLIPPAN</t>
        </is>
      </c>
      <c r="F258" t="inlineStr">
        <is>
          <t>Sveaskog</t>
        </is>
      </c>
      <c r="G258" t="n">
        <v>10.4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14512-2023</t>
        </is>
      </c>
      <c r="B259" s="1" t="n">
        <v>45012</v>
      </c>
      <c r="C259" s="1" t="n">
        <v>45720</v>
      </c>
      <c r="D259" t="inlineStr">
        <is>
          <t>SKÅNE LÄN</t>
        </is>
      </c>
      <c r="E259" t="inlineStr">
        <is>
          <t>KLIPPAN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14513-2023</t>
        </is>
      </c>
      <c r="B260" s="1" t="n">
        <v>45012</v>
      </c>
      <c r="C260" s="1" t="n">
        <v>45720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14614-2023</t>
        </is>
      </c>
      <c r="B261" s="1" t="n">
        <v>45013</v>
      </c>
      <c r="C261" s="1" t="n">
        <v>45720</v>
      </c>
      <c r="D261" t="inlineStr">
        <is>
          <t>SKÅNE LÄN</t>
        </is>
      </c>
      <c r="E261" t="inlineStr">
        <is>
          <t>KLIPPAN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14619-2023</t>
        </is>
      </c>
      <c r="B262" s="1" t="n">
        <v>45013</v>
      </c>
      <c r="C262" s="1" t="n">
        <v>45720</v>
      </c>
      <c r="D262" t="inlineStr">
        <is>
          <t>SKÅNE LÄN</t>
        </is>
      </c>
      <c r="E262" t="inlineStr">
        <is>
          <t>KLIPPAN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16056-2023</t>
        </is>
      </c>
      <c r="B263" s="1" t="n">
        <v>45027</v>
      </c>
      <c r="C263" s="1" t="n">
        <v>45720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18214-2023</t>
        </is>
      </c>
      <c r="B264" s="1" t="n">
        <v>45040</v>
      </c>
      <c r="C264" s="1" t="n">
        <v>45720</v>
      </c>
      <c r="D264" t="inlineStr">
        <is>
          <t>SKÅNE LÄN</t>
        </is>
      </c>
      <c r="E264" t="inlineStr">
        <is>
          <t>KLIPPAN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20128-2023</t>
        </is>
      </c>
      <c r="B265" s="1" t="n">
        <v>45055</v>
      </c>
      <c r="C265" s="1" t="n">
        <v>45720</v>
      </c>
      <c r="D265" t="inlineStr">
        <is>
          <t>SKÅNE LÄN</t>
        </is>
      </c>
      <c r="E265" t="inlineStr">
        <is>
          <t>KLIPPAN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20717-2023</t>
        </is>
      </c>
      <c r="B266" s="1" t="n">
        <v>45055</v>
      </c>
      <c r="C266" s="1" t="n">
        <v>45720</v>
      </c>
      <c r="D266" t="inlineStr">
        <is>
          <t>SKÅNE LÄN</t>
        </is>
      </c>
      <c r="E266" t="inlineStr">
        <is>
          <t>KLIPPAN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20591-2023</t>
        </is>
      </c>
      <c r="B267" s="1" t="n">
        <v>45055</v>
      </c>
      <c r="C267" s="1" t="n">
        <v>45720</v>
      </c>
      <c r="D267" t="inlineStr">
        <is>
          <t>SKÅNE LÄN</t>
        </is>
      </c>
      <c r="E267" t="inlineStr">
        <is>
          <t>KLIPPAN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20730-2023</t>
        </is>
      </c>
      <c r="B268" s="1" t="n">
        <v>45055</v>
      </c>
      <c r="C268" s="1" t="n">
        <v>45720</v>
      </c>
      <c r="D268" t="inlineStr">
        <is>
          <t>SKÅNE LÄN</t>
        </is>
      </c>
      <c r="E268" t="inlineStr">
        <is>
          <t>KLIPPAN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20282-2023</t>
        </is>
      </c>
      <c r="B269" s="1" t="n">
        <v>45056</v>
      </c>
      <c r="C269" s="1" t="n">
        <v>45720</v>
      </c>
      <c r="D269" t="inlineStr">
        <is>
          <t>SKÅNE LÄN</t>
        </is>
      </c>
      <c r="E269" t="inlineStr">
        <is>
          <t>KLIPPAN</t>
        </is>
      </c>
      <c r="F269" t="inlineStr">
        <is>
          <t>Sveaskog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20892-2023</t>
        </is>
      </c>
      <c r="B270" s="1" t="n">
        <v>45059</v>
      </c>
      <c r="C270" s="1" t="n">
        <v>45720</v>
      </c>
      <c r="D270" t="inlineStr">
        <is>
          <t>SKÅNE LÄN</t>
        </is>
      </c>
      <c r="E270" t="inlineStr">
        <is>
          <t>KLIPPAN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21739-2023</t>
        </is>
      </c>
      <c r="B271" s="1" t="n">
        <v>45065</v>
      </c>
      <c r="C271" s="1" t="n">
        <v>45720</v>
      </c>
      <c r="D271" t="inlineStr">
        <is>
          <t>SKÅNE LÄN</t>
        </is>
      </c>
      <c r="E271" t="inlineStr">
        <is>
          <t>KLIPPAN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22204-2023</t>
        </is>
      </c>
      <c r="B272" s="1" t="n">
        <v>45069</v>
      </c>
      <c r="C272" s="1" t="n">
        <v>45720</v>
      </c>
      <c r="D272" t="inlineStr">
        <is>
          <t>SKÅNE LÄN</t>
        </is>
      </c>
      <c r="E272" t="inlineStr">
        <is>
          <t>KLIPPAN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22202-2023</t>
        </is>
      </c>
      <c r="B273" s="1" t="n">
        <v>45069</v>
      </c>
      <c r="C273" s="1" t="n">
        <v>45720</v>
      </c>
      <c r="D273" t="inlineStr">
        <is>
          <t>SKÅNE LÄN</t>
        </is>
      </c>
      <c r="E273" t="inlineStr">
        <is>
          <t>KLIPPAN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22207-2023</t>
        </is>
      </c>
      <c r="B274" s="1" t="n">
        <v>45069</v>
      </c>
      <c r="C274" s="1" t="n">
        <v>45720</v>
      </c>
      <c r="D274" t="inlineStr">
        <is>
          <t>SKÅNE LÄN</t>
        </is>
      </c>
      <c r="E274" t="inlineStr">
        <is>
          <t>KLIPPAN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22205-2023</t>
        </is>
      </c>
      <c r="B275" s="1" t="n">
        <v>45069</v>
      </c>
      <c r="C275" s="1" t="n">
        <v>45720</v>
      </c>
      <c r="D275" t="inlineStr">
        <is>
          <t>SKÅNE LÄN</t>
        </is>
      </c>
      <c r="E275" t="inlineStr">
        <is>
          <t>KLIPPAN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22976-2023</t>
        </is>
      </c>
      <c r="B276" s="1" t="n">
        <v>45072</v>
      </c>
      <c r="C276" s="1" t="n">
        <v>45720</v>
      </c>
      <c r="D276" t="inlineStr">
        <is>
          <t>SKÅNE LÄN</t>
        </is>
      </c>
      <c r="E276" t="inlineStr">
        <is>
          <t>KLIPPAN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23003-2023</t>
        </is>
      </c>
      <c r="B277" s="1" t="n">
        <v>45073</v>
      </c>
      <c r="C277" s="1" t="n">
        <v>45720</v>
      </c>
      <c r="D277" t="inlineStr">
        <is>
          <t>SKÅNE LÄN</t>
        </is>
      </c>
      <c r="E277" t="inlineStr">
        <is>
          <t>KLIPPAN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23261-2023</t>
        </is>
      </c>
      <c r="B278" s="1" t="n">
        <v>45075</v>
      </c>
      <c r="C278" s="1" t="n">
        <v>45720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23260-2023</t>
        </is>
      </c>
      <c r="B279" s="1" t="n">
        <v>45075</v>
      </c>
      <c r="C279" s="1" t="n">
        <v>45720</v>
      </c>
      <c r="D279" t="inlineStr">
        <is>
          <t>SKÅNE LÄN</t>
        </is>
      </c>
      <c r="E279" t="inlineStr">
        <is>
          <t>KLIPPAN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23681-2023</t>
        </is>
      </c>
      <c r="B280" s="1" t="n">
        <v>45077</v>
      </c>
      <c r="C280" s="1" t="n">
        <v>45720</v>
      </c>
      <c r="D280" t="inlineStr">
        <is>
          <t>SKÅNE LÄN</t>
        </is>
      </c>
      <c r="E280" t="inlineStr">
        <is>
          <t>KLIPPAN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23741-2023</t>
        </is>
      </c>
      <c r="B281" s="1" t="n">
        <v>45077</v>
      </c>
      <c r="C281" s="1" t="n">
        <v>45720</v>
      </c>
      <c r="D281" t="inlineStr">
        <is>
          <t>SKÅNE LÄN</t>
        </is>
      </c>
      <c r="E281" t="inlineStr">
        <is>
          <t>KLIPPAN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24035-2023</t>
        </is>
      </c>
      <c r="B282" s="1" t="n">
        <v>45078</v>
      </c>
      <c r="C282" s="1" t="n">
        <v>45720</v>
      </c>
      <c r="D282" t="inlineStr">
        <is>
          <t>SKÅNE LÄN</t>
        </is>
      </c>
      <c r="E282" t="inlineStr">
        <is>
          <t>KLIPPAN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24034-2023</t>
        </is>
      </c>
      <c r="B283" s="1" t="n">
        <v>45078</v>
      </c>
      <c r="C283" s="1" t="n">
        <v>45720</v>
      </c>
      <c r="D283" t="inlineStr">
        <is>
          <t>SKÅNE LÄN</t>
        </is>
      </c>
      <c r="E283" t="inlineStr">
        <is>
          <t>KLIPPAN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24160-2023</t>
        </is>
      </c>
      <c r="B284" s="1" t="n">
        <v>45079</v>
      </c>
      <c r="C284" s="1" t="n">
        <v>45720</v>
      </c>
      <c r="D284" t="inlineStr">
        <is>
          <t>SKÅNE LÄN</t>
        </is>
      </c>
      <c r="E284" t="inlineStr">
        <is>
          <t>KLIPPAN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25393-2023</t>
        </is>
      </c>
      <c r="B285" s="1" t="n">
        <v>45079</v>
      </c>
      <c r="C285" s="1" t="n">
        <v>45720</v>
      </c>
      <c r="D285" t="inlineStr">
        <is>
          <t>SKÅNE LÄN</t>
        </is>
      </c>
      <c r="E285" t="inlineStr">
        <is>
          <t>KLIPPAN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24647-2023</t>
        </is>
      </c>
      <c r="B286" s="1" t="n">
        <v>45084</v>
      </c>
      <c r="C286" s="1" t="n">
        <v>45720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24644-2023</t>
        </is>
      </c>
      <c r="B287" s="1" t="n">
        <v>45084</v>
      </c>
      <c r="C287" s="1" t="n">
        <v>45720</v>
      </c>
      <c r="D287" t="inlineStr">
        <is>
          <t>SKÅNE LÄN</t>
        </is>
      </c>
      <c r="E287" t="inlineStr">
        <is>
          <t>KLIPPAN</t>
        </is>
      </c>
      <c r="F287" t="inlineStr">
        <is>
          <t>Övriga Aktiebolag</t>
        </is>
      </c>
      <c r="G287" t="n">
        <v>12.2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24652-2023</t>
        </is>
      </c>
      <c r="B288" s="1" t="n">
        <v>45084</v>
      </c>
      <c r="C288" s="1" t="n">
        <v>45720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25069-2023</t>
        </is>
      </c>
      <c r="B289" s="1" t="n">
        <v>45086</v>
      </c>
      <c r="C289" s="1" t="n">
        <v>45720</v>
      </c>
      <c r="D289" t="inlineStr">
        <is>
          <t>SKÅNE LÄN</t>
        </is>
      </c>
      <c r="E289" t="inlineStr">
        <is>
          <t>KLIPPAN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25544-2023</t>
        </is>
      </c>
      <c r="B290" s="1" t="n">
        <v>45089</v>
      </c>
      <c r="C290" s="1" t="n">
        <v>45720</v>
      </c>
      <c r="D290" t="inlineStr">
        <is>
          <t>SKÅNE LÄN</t>
        </is>
      </c>
      <c r="E290" t="inlineStr">
        <is>
          <t>KLIPPAN</t>
        </is>
      </c>
      <c r="F290" t="inlineStr">
        <is>
          <t>Sveaskog</t>
        </is>
      </c>
      <c r="G290" t="n">
        <v>13.1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26215-2023</t>
        </is>
      </c>
      <c r="B291" s="1" t="n">
        <v>45091</v>
      </c>
      <c r="C291" s="1" t="n">
        <v>45720</v>
      </c>
      <c r="D291" t="inlineStr">
        <is>
          <t>SKÅNE LÄN</t>
        </is>
      </c>
      <c r="E291" t="inlineStr">
        <is>
          <t>KLIPPAN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27008-2023</t>
        </is>
      </c>
      <c r="B292" s="1" t="n">
        <v>45094</v>
      </c>
      <c r="C292" s="1" t="n">
        <v>45720</v>
      </c>
      <c r="D292" t="inlineStr">
        <is>
          <t>SKÅNE LÄN</t>
        </is>
      </c>
      <c r="E292" t="inlineStr">
        <is>
          <t>KLIPPAN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27010-2023</t>
        </is>
      </c>
      <c r="B293" s="1" t="n">
        <v>45094</v>
      </c>
      <c r="C293" s="1" t="n">
        <v>45720</v>
      </c>
      <c r="D293" t="inlineStr">
        <is>
          <t>SKÅNE LÄN</t>
        </is>
      </c>
      <c r="E293" t="inlineStr">
        <is>
          <t>KLIPPAN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27009-2023</t>
        </is>
      </c>
      <c r="B294" s="1" t="n">
        <v>45094</v>
      </c>
      <c r="C294" s="1" t="n">
        <v>45720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27011-2023</t>
        </is>
      </c>
      <c r="B295" s="1" t="n">
        <v>45094</v>
      </c>
      <c r="C295" s="1" t="n">
        <v>45720</v>
      </c>
      <c r="D295" t="inlineStr">
        <is>
          <t>SKÅNE LÄN</t>
        </is>
      </c>
      <c r="E295" t="inlineStr">
        <is>
          <t>KLIPPAN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27813-2023</t>
        </is>
      </c>
      <c r="B296" s="1" t="n">
        <v>45098</v>
      </c>
      <c r="C296" s="1" t="n">
        <v>45720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28247-2023</t>
        </is>
      </c>
      <c r="B297" s="1" t="n">
        <v>45099</v>
      </c>
      <c r="C297" s="1" t="n">
        <v>45720</v>
      </c>
      <c r="D297" t="inlineStr">
        <is>
          <t>SKÅNE LÄN</t>
        </is>
      </c>
      <c r="E297" t="inlineStr">
        <is>
          <t>KLIPPAN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28490-2023</t>
        </is>
      </c>
      <c r="B298" s="1" t="n">
        <v>45103</v>
      </c>
      <c r="C298" s="1" t="n">
        <v>45720</v>
      </c>
      <c r="D298" t="inlineStr">
        <is>
          <t>SKÅNE LÄN</t>
        </is>
      </c>
      <c r="E298" t="inlineStr">
        <is>
          <t>KLIPPAN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28709-2023</t>
        </is>
      </c>
      <c r="B299" s="1" t="n">
        <v>45103</v>
      </c>
      <c r="C299" s="1" t="n">
        <v>45720</v>
      </c>
      <c r="D299" t="inlineStr">
        <is>
          <t>SKÅNE LÄN</t>
        </is>
      </c>
      <c r="E299" t="inlineStr">
        <is>
          <t>KLIPPAN</t>
        </is>
      </c>
      <c r="G299" t="n">
        <v>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28704-2023</t>
        </is>
      </c>
      <c r="B300" s="1" t="n">
        <v>45103</v>
      </c>
      <c r="C300" s="1" t="n">
        <v>45720</v>
      </c>
      <c r="D300" t="inlineStr">
        <is>
          <t>SKÅNE LÄN</t>
        </is>
      </c>
      <c r="E300" t="inlineStr">
        <is>
          <t>KLIPPAN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28706-2023</t>
        </is>
      </c>
      <c r="B301" s="1" t="n">
        <v>45103</v>
      </c>
      <c r="C301" s="1" t="n">
        <v>45720</v>
      </c>
      <c r="D301" t="inlineStr">
        <is>
          <t>SKÅNE LÄN</t>
        </is>
      </c>
      <c r="E301" t="inlineStr">
        <is>
          <t>KLIPPAN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28844-2023</t>
        </is>
      </c>
      <c r="B302" s="1" t="n">
        <v>45104</v>
      </c>
      <c r="C302" s="1" t="n">
        <v>45720</v>
      </c>
      <c r="D302" t="inlineStr">
        <is>
          <t>SKÅNE LÄN</t>
        </is>
      </c>
      <c r="E302" t="inlineStr">
        <is>
          <t>KLIPPAN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28847-2023</t>
        </is>
      </c>
      <c r="B303" s="1" t="n">
        <v>45104</v>
      </c>
      <c r="C303" s="1" t="n">
        <v>45720</v>
      </c>
      <c r="D303" t="inlineStr">
        <is>
          <t>SKÅNE LÄN</t>
        </is>
      </c>
      <c r="E303" t="inlineStr">
        <is>
          <t>KLIPPAN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32139-2023</t>
        </is>
      </c>
      <c r="B304" s="1" t="n">
        <v>45119</v>
      </c>
      <c r="C304" s="1" t="n">
        <v>45720</v>
      </c>
      <c r="D304" t="inlineStr">
        <is>
          <t>SKÅNE LÄN</t>
        </is>
      </c>
      <c r="E304" t="inlineStr">
        <is>
          <t>KLIPPAN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37044-2023</t>
        </is>
      </c>
      <c r="B305" s="1" t="n">
        <v>45155</v>
      </c>
      <c r="C305" s="1" t="n">
        <v>45720</v>
      </c>
      <c r="D305" t="inlineStr">
        <is>
          <t>SKÅNE LÄN</t>
        </is>
      </c>
      <c r="E305" t="inlineStr">
        <is>
          <t>KLIPPAN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37068-2023</t>
        </is>
      </c>
      <c r="B306" s="1" t="n">
        <v>45155</v>
      </c>
      <c r="C306" s="1" t="n">
        <v>45720</v>
      </c>
      <c r="D306" t="inlineStr">
        <is>
          <t>SKÅNE LÄN</t>
        </is>
      </c>
      <c r="E306" t="inlineStr">
        <is>
          <t>KLIPPAN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38325-2023</t>
        </is>
      </c>
      <c r="B307" s="1" t="n">
        <v>45161</v>
      </c>
      <c r="C307" s="1" t="n">
        <v>45720</v>
      </c>
      <c r="D307" t="inlineStr">
        <is>
          <t>SKÅNE LÄN</t>
        </is>
      </c>
      <c r="E307" t="inlineStr">
        <is>
          <t>KLIPPAN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38323-2023</t>
        </is>
      </c>
      <c r="B308" s="1" t="n">
        <v>45161</v>
      </c>
      <c r="C308" s="1" t="n">
        <v>45720</v>
      </c>
      <c r="D308" t="inlineStr">
        <is>
          <t>SKÅNE LÄN</t>
        </is>
      </c>
      <c r="E308" t="inlineStr">
        <is>
          <t>KLIPPAN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38724-2023</t>
        </is>
      </c>
      <c r="B309" s="1" t="n">
        <v>45163</v>
      </c>
      <c r="C309" s="1" t="n">
        <v>45720</v>
      </c>
      <c r="D309" t="inlineStr">
        <is>
          <t>SKÅNE LÄN</t>
        </is>
      </c>
      <c r="E309" t="inlineStr">
        <is>
          <t>KLIPPAN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38945-2023</t>
        </is>
      </c>
      <c r="B310" s="1" t="n">
        <v>45163</v>
      </c>
      <c r="C310" s="1" t="n">
        <v>45720</v>
      </c>
      <c r="D310" t="inlineStr">
        <is>
          <t>SKÅNE LÄN</t>
        </is>
      </c>
      <c r="E310" t="inlineStr">
        <is>
          <t>KLIPPAN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38719-2023</t>
        </is>
      </c>
      <c r="B311" s="1" t="n">
        <v>45163</v>
      </c>
      <c r="C311" s="1" t="n">
        <v>45720</v>
      </c>
      <c r="D311" t="inlineStr">
        <is>
          <t>SKÅNE LÄN</t>
        </is>
      </c>
      <c r="E311" t="inlineStr">
        <is>
          <t>KLIPPAN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39530-2023</t>
        </is>
      </c>
      <c r="B312" s="1" t="n">
        <v>45167</v>
      </c>
      <c r="C312" s="1" t="n">
        <v>45720</v>
      </c>
      <c r="D312" t="inlineStr">
        <is>
          <t>SKÅNE LÄN</t>
        </is>
      </c>
      <c r="E312" t="inlineStr">
        <is>
          <t>KLIPPAN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40710-2023</t>
        </is>
      </c>
      <c r="B313" s="1" t="n">
        <v>45170</v>
      </c>
      <c r="C313" s="1" t="n">
        <v>45720</v>
      </c>
      <c r="D313" t="inlineStr">
        <is>
          <t>SKÅNE LÄN</t>
        </is>
      </c>
      <c r="E313" t="inlineStr">
        <is>
          <t>KLIPPAN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44365-2023</t>
        </is>
      </c>
      <c r="B314" s="1" t="n">
        <v>45188</v>
      </c>
      <c r="C314" s="1" t="n">
        <v>45720</v>
      </c>
      <c r="D314" t="inlineStr">
        <is>
          <t>SKÅNE LÄN</t>
        </is>
      </c>
      <c r="E314" t="inlineStr">
        <is>
          <t>KLIPPAN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46728-2023</t>
        </is>
      </c>
      <c r="B315" s="1" t="n">
        <v>45198</v>
      </c>
      <c r="C315" s="1" t="n">
        <v>45720</v>
      </c>
      <c r="D315" t="inlineStr">
        <is>
          <t>SKÅNE LÄN</t>
        </is>
      </c>
      <c r="E315" t="inlineStr">
        <is>
          <t>KLIPPAN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46573-2023</t>
        </is>
      </c>
      <c r="B316" s="1" t="n">
        <v>45198</v>
      </c>
      <c r="C316" s="1" t="n">
        <v>45720</v>
      </c>
      <c r="D316" t="inlineStr">
        <is>
          <t>SKÅNE LÄN</t>
        </is>
      </c>
      <c r="E316" t="inlineStr">
        <is>
          <t>KLIPPAN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46836-2023</t>
        </is>
      </c>
      <c r="B317" s="1" t="n">
        <v>45199</v>
      </c>
      <c r="C317" s="1" t="n">
        <v>45720</v>
      </c>
      <c r="D317" t="inlineStr">
        <is>
          <t>SKÅNE LÄN</t>
        </is>
      </c>
      <c r="E317" t="inlineStr">
        <is>
          <t>KLIPPAN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46835-2023</t>
        </is>
      </c>
      <c r="B318" s="1" t="n">
        <v>45199</v>
      </c>
      <c r="C318" s="1" t="n">
        <v>45720</v>
      </c>
      <c r="D318" t="inlineStr">
        <is>
          <t>SKÅNE LÄN</t>
        </is>
      </c>
      <c r="E318" t="inlineStr">
        <is>
          <t>KLIPPAN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47572-2023</t>
        </is>
      </c>
      <c r="B319" s="1" t="n">
        <v>45203</v>
      </c>
      <c r="C319" s="1" t="n">
        <v>45720</v>
      </c>
      <c r="D319" t="inlineStr">
        <is>
          <t>SKÅNE LÄN</t>
        </is>
      </c>
      <c r="E319" t="inlineStr">
        <is>
          <t>KLIPPAN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48965-2023</t>
        </is>
      </c>
      <c r="B320" s="1" t="n">
        <v>45209</v>
      </c>
      <c r="C320" s="1" t="n">
        <v>45720</v>
      </c>
      <c r="D320" t="inlineStr">
        <is>
          <t>SKÅNE LÄN</t>
        </is>
      </c>
      <c r="E320" t="inlineStr">
        <is>
          <t>KLIPPAN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49370-2023</t>
        </is>
      </c>
      <c r="B321" s="1" t="n">
        <v>45211</v>
      </c>
      <c r="C321" s="1" t="n">
        <v>45720</v>
      </c>
      <c r="D321" t="inlineStr">
        <is>
          <t>SKÅNE LÄN</t>
        </is>
      </c>
      <c r="E321" t="inlineStr">
        <is>
          <t>KLIPPAN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49387-2023</t>
        </is>
      </c>
      <c r="B322" s="1" t="n">
        <v>45211</v>
      </c>
      <c r="C322" s="1" t="n">
        <v>45720</v>
      </c>
      <c r="D322" t="inlineStr">
        <is>
          <t>SKÅNE LÄN</t>
        </is>
      </c>
      <c r="E322" t="inlineStr">
        <is>
          <t>KLIPPAN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49686-2023</t>
        </is>
      </c>
      <c r="B323" s="1" t="n">
        <v>45212</v>
      </c>
      <c r="C323" s="1" t="n">
        <v>45720</v>
      </c>
      <c r="D323" t="inlineStr">
        <is>
          <t>SKÅNE LÄN</t>
        </is>
      </c>
      <c r="E323" t="inlineStr">
        <is>
          <t>KLIPPAN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49918-2023</t>
        </is>
      </c>
      <c r="B324" s="1" t="n">
        <v>45214</v>
      </c>
      <c r="C324" s="1" t="n">
        <v>45720</v>
      </c>
      <c r="D324" t="inlineStr">
        <is>
          <t>SKÅNE LÄN</t>
        </is>
      </c>
      <c r="E324" t="inlineStr">
        <is>
          <t>KLIPPAN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52601-2023</t>
        </is>
      </c>
      <c r="B325" s="1" t="n">
        <v>45219</v>
      </c>
      <c r="C325" s="1" t="n">
        <v>45720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52612-2023</t>
        </is>
      </c>
      <c r="B326" s="1" t="n">
        <v>45219</v>
      </c>
      <c r="C326" s="1" t="n">
        <v>45720</v>
      </c>
      <c r="D326" t="inlineStr">
        <is>
          <t>SKÅNE LÄN</t>
        </is>
      </c>
      <c r="E326" t="inlineStr">
        <is>
          <t>KLIPPAN</t>
        </is>
      </c>
      <c r="F326" t="inlineStr">
        <is>
          <t>Övriga Aktiebolag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52605-2023</t>
        </is>
      </c>
      <c r="B327" s="1" t="n">
        <v>45219</v>
      </c>
      <c r="C327" s="1" t="n">
        <v>45720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51844-2023</t>
        </is>
      </c>
      <c r="B328" s="1" t="n">
        <v>45223</v>
      </c>
      <c r="C328" s="1" t="n">
        <v>45720</v>
      </c>
      <c r="D328" t="inlineStr">
        <is>
          <t>SKÅNE LÄN</t>
        </is>
      </c>
      <c r="E328" t="inlineStr">
        <is>
          <t>KLIPPAN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52286-2023</t>
        </is>
      </c>
      <c r="B329" s="1" t="n">
        <v>45224</v>
      </c>
      <c r="C329" s="1" t="n">
        <v>45720</v>
      </c>
      <c r="D329" t="inlineStr">
        <is>
          <t>SKÅNE LÄN</t>
        </is>
      </c>
      <c r="E329" t="inlineStr">
        <is>
          <t>KLIPPAN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53222-2023</t>
        </is>
      </c>
      <c r="B330" s="1" t="n">
        <v>45229</v>
      </c>
      <c r="C330" s="1" t="n">
        <v>45720</v>
      </c>
      <c r="D330" t="inlineStr">
        <is>
          <t>SKÅNE LÄN</t>
        </is>
      </c>
      <c r="E330" t="inlineStr">
        <is>
          <t>KLIPPAN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55291-2023</t>
        </is>
      </c>
      <c r="B331" s="1" t="n">
        <v>45237</v>
      </c>
      <c r="C331" s="1" t="n">
        <v>45720</v>
      </c>
      <c r="D331" t="inlineStr">
        <is>
          <t>SKÅNE LÄN</t>
        </is>
      </c>
      <c r="E331" t="inlineStr">
        <is>
          <t>KLIPPAN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56759-2023</t>
        </is>
      </c>
      <c r="B332" s="1" t="n">
        <v>45238</v>
      </c>
      <c r="C332" s="1" t="n">
        <v>45720</v>
      </c>
      <c r="D332" t="inlineStr">
        <is>
          <t>SKÅNE LÄN</t>
        </is>
      </c>
      <c r="E332" t="inlineStr">
        <is>
          <t>KLIPPAN</t>
        </is>
      </c>
      <c r="G332" t="n">
        <v>7.4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55833-2023</t>
        </is>
      </c>
      <c r="B333" s="1" t="n">
        <v>45239</v>
      </c>
      <c r="C333" s="1" t="n">
        <v>45720</v>
      </c>
      <c r="D333" t="inlineStr">
        <is>
          <t>SKÅNE LÄN</t>
        </is>
      </c>
      <c r="E333" t="inlineStr">
        <is>
          <t>KLIPPAN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60527-2023</t>
        </is>
      </c>
      <c r="B334" s="1" t="n">
        <v>45259</v>
      </c>
      <c r="C334" s="1" t="n">
        <v>45720</v>
      </c>
      <c r="D334" t="inlineStr">
        <is>
          <t>SKÅNE LÄN</t>
        </is>
      </c>
      <c r="E334" t="inlineStr">
        <is>
          <t>KLIPPAN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60665-2023</t>
        </is>
      </c>
      <c r="B335" s="1" t="n">
        <v>45260</v>
      </c>
      <c r="C335" s="1" t="n">
        <v>45720</v>
      </c>
      <c r="D335" t="inlineStr">
        <is>
          <t>SKÅNE LÄN</t>
        </is>
      </c>
      <c r="E335" t="inlineStr">
        <is>
          <t>KLIPPAN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60791-2023</t>
        </is>
      </c>
      <c r="B336" s="1" t="n">
        <v>45260</v>
      </c>
      <c r="C336" s="1" t="n">
        <v>45720</v>
      </c>
      <c r="D336" t="inlineStr">
        <is>
          <t>SKÅNE LÄN</t>
        </is>
      </c>
      <c r="E336" t="inlineStr">
        <is>
          <t>KLIPPAN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60783-2023</t>
        </is>
      </c>
      <c r="B337" s="1" t="n">
        <v>45260</v>
      </c>
      <c r="C337" s="1" t="n">
        <v>45720</v>
      </c>
      <c r="D337" t="inlineStr">
        <is>
          <t>SKÅNE LÄN</t>
        </is>
      </c>
      <c r="E337" t="inlineStr">
        <is>
          <t>KLIPPAN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61682-2023</t>
        </is>
      </c>
      <c r="B338" s="1" t="n">
        <v>45264</v>
      </c>
      <c r="C338" s="1" t="n">
        <v>45720</v>
      </c>
      <c r="D338" t="inlineStr">
        <is>
          <t>SKÅNE LÄN</t>
        </is>
      </c>
      <c r="E338" t="inlineStr">
        <is>
          <t>KLIPPAN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62473-2023</t>
        </is>
      </c>
      <c r="B339" s="1" t="n">
        <v>45267</v>
      </c>
      <c r="C339" s="1" t="n">
        <v>45720</v>
      </c>
      <c r="D339" t="inlineStr">
        <is>
          <t>SKÅNE LÄN</t>
        </is>
      </c>
      <c r="E339" t="inlineStr">
        <is>
          <t>KLIPPAN</t>
        </is>
      </c>
      <c r="F339" t="inlineStr">
        <is>
          <t>Övriga Aktiebolag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63720-2023</t>
        </is>
      </c>
      <c r="B340" s="1" t="n">
        <v>45275</v>
      </c>
      <c r="C340" s="1" t="n">
        <v>45720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64222-2023</t>
        </is>
      </c>
      <c r="B341" s="1" t="n">
        <v>45279</v>
      </c>
      <c r="C341" s="1" t="n">
        <v>45720</v>
      </c>
      <c r="D341" t="inlineStr">
        <is>
          <t>SKÅNE LÄN</t>
        </is>
      </c>
      <c r="E341" t="inlineStr">
        <is>
          <t>KLIPPAN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64224-2023</t>
        </is>
      </c>
      <c r="B342" s="1" t="n">
        <v>45279</v>
      </c>
      <c r="C342" s="1" t="n">
        <v>45720</v>
      </c>
      <c r="D342" t="inlineStr">
        <is>
          <t>SKÅNE LÄN</t>
        </is>
      </c>
      <c r="E342" t="inlineStr">
        <is>
          <t>KLIPPAN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2280-2024</t>
        </is>
      </c>
      <c r="B343" s="1" t="n">
        <v>45310</v>
      </c>
      <c r="C343" s="1" t="n">
        <v>45720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2748-2024</t>
        </is>
      </c>
      <c r="B344" s="1" t="n">
        <v>45314</v>
      </c>
      <c r="C344" s="1" t="n">
        <v>45720</v>
      </c>
      <c r="D344" t="inlineStr">
        <is>
          <t>SKÅNE LÄN</t>
        </is>
      </c>
      <c r="E344" t="inlineStr">
        <is>
          <t>KLIPPAN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3489-2024</t>
        </is>
      </c>
      <c r="B345" s="1" t="n">
        <v>45320</v>
      </c>
      <c r="C345" s="1" t="n">
        <v>45720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3498-2024</t>
        </is>
      </c>
      <c r="B346" s="1" t="n">
        <v>45320</v>
      </c>
      <c r="C346" s="1" t="n">
        <v>45720</v>
      </c>
      <c r="D346" t="inlineStr">
        <is>
          <t>SKÅNE LÄN</t>
        </is>
      </c>
      <c r="E346" t="inlineStr">
        <is>
          <t>KLIPPAN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3815-2024</t>
        </is>
      </c>
      <c r="B347" s="1" t="n">
        <v>45321</v>
      </c>
      <c r="C347" s="1" t="n">
        <v>45720</v>
      </c>
      <c r="D347" t="inlineStr">
        <is>
          <t>SKÅNE LÄN</t>
        </is>
      </c>
      <c r="E347" t="inlineStr">
        <is>
          <t>KLIPPAN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3814-2024</t>
        </is>
      </c>
      <c r="B348" s="1" t="n">
        <v>45321</v>
      </c>
      <c r="C348" s="1" t="n">
        <v>45720</v>
      </c>
      <c r="D348" t="inlineStr">
        <is>
          <t>SKÅNE LÄN</t>
        </is>
      </c>
      <c r="E348" t="inlineStr">
        <is>
          <t>KLIPPAN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3816-2024</t>
        </is>
      </c>
      <c r="B349" s="1" t="n">
        <v>45321</v>
      </c>
      <c r="C349" s="1" t="n">
        <v>45720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4319-2024</t>
        </is>
      </c>
      <c r="B350" s="1" t="n">
        <v>45324</v>
      </c>
      <c r="C350" s="1" t="n">
        <v>45720</v>
      </c>
      <c r="D350" t="inlineStr">
        <is>
          <t>SKÅNE LÄN</t>
        </is>
      </c>
      <c r="E350" t="inlineStr">
        <is>
          <t>KLIPPAN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4324-2024</t>
        </is>
      </c>
      <c r="B351" s="1" t="n">
        <v>45324</v>
      </c>
      <c r="C351" s="1" t="n">
        <v>45720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4301-2024</t>
        </is>
      </c>
      <c r="B352" s="1" t="n">
        <v>45324</v>
      </c>
      <c r="C352" s="1" t="n">
        <v>45720</v>
      </c>
      <c r="D352" t="inlineStr">
        <is>
          <t>SKÅNE LÄN</t>
        </is>
      </c>
      <c r="E352" t="inlineStr">
        <is>
          <t>KLIPPAN</t>
        </is>
      </c>
      <c r="F352" t="inlineStr">
        <is>
          <t>Övriga Aktiebolag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4321-2024</t>
        </is>
      </c>
      <c r="B353" s="1" t="n">
        <v>45324</v>
      </c>
      <c r="C353" s="1" t="n">
        <v>45720</v>
      </c>
      <c r="D353" t="inlineStr">
        <is>
          <t>SKÅNE LÄN</t>
        </is>
      </c>
      <c r="E353" t="inlineStr">
        <is>
          <t>KLIPPAN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4323-2024</t>
        </is>
      </c>
      <c r="B354" s="1" t="n">
        <v>45324</v>
      </c>
      <c r="C354" s="1" t="n">
        <v>45720</v>
      </c>
      <c r="D354" t="inlineStr">
        <is>
          <t>SKÅNE LÄN</t>
        </is>
      </c>
      <c r="E354" t="inlineStr">
        <is>
          <t>KLIPPAN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4623-2024</t>
        </is>
      </c>
      <c r="B355" s="1" t="n">
        <v>45328</v>
      </c>
      <c r="C355" s="1" t="n">
        <v>45720</v>
      </c>
      <c r="D355" t="inlineStr">
        <is>
          <t>SKÅNE LÄN</t>
        </is>
      </c>
      <c r="E355" t="inlineStr">
        <is>
          <t>KLIPPAN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5141-2024</t>
        </is>
      </c>
      <c r="B356" s="1" t="n">
        <v>45330</v>
      </c>
      <c r="C356" s="1" t="n">
        <v>45720</v>
      </c>
      <c r="D356" t="inlineStr">
        <is>
          <t>SKÅNE LÄN</t>
        </is>
      </c>
      <c r="E356" t="inlineStr">
        <is>
          <t>KLIPPAN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5797-2024</t>
        </is>
      </c>
      <c r="B357" s="1" t="n">
        <v>45335</v>
      </c>
      <c r="C357" s="1" t="n">
        <v>45720</v>
      </c>
      <c r="D357" t="inlineStr">
        <is>
          <t>SKÅNE LÄN</t>
        </is>
      </c>
      <c r="E357" t="inlineStr">
        <is>
          <t>KLIPPAN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6615-2024</t>
        </is>
      </c>
      <c r="B358" s="1" t="n">
        <v>45341</v>
      </c>
      <c r="C358" s="1" t="n">
        <v>45720</v>
      </c>
      <c r="D358" t="inlineStr">
        <is>
          <t>SKÅNE LÄN</t>
        </is>
      </c>
      <c r="E358" t="inlineStr">
        <is>
          <t>KLIPPAN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6622-2024</t>
        </is>
      </c>
      <c r="B359" s="1" t="n">
        <v>45341</v>
      </c>
      <c r="C359" s="1" t="n">
        <v>45720</v>
      </c>
      <c r="D359" t="inlineStr">
        <is>
          <t>SKÅNE LÄN</t>
        </is>
      </c>
      <c r="E359" t="inlineStr">
        <is>
          <t>KLIPPAN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7746-2024</t>
        </is>
      </c>
      <c r="B360" s="1" t="n">
        <v>45349</v>
      </c>
      <c r="C360" s="1" t="n">
        <v>45720</v>
      </c>
      <c r="D360" t="inlineStr">
        <is>
          <t>SKÅNE LÄN</t>
        </is>
      </c>
      <c r="E360" t="inlineStr">
        <is>
          <t>KLIPPAN</t>
        </is>
      </c>
      <c r="F360" t="inlineStr">
        <is>
          <t>Övriga Aktiebolag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8537-2024</t>
        </is>
      </c>
      <c r="B361" s="1" t="n">
        <v>45355</v>
      </c>
      <c r="C361" s="1" t="n">
        <v>45720</v>
      </c>
      <c r="D361" t="inlineStr">
        <is>
          <t>SKÅNE LÄN</t>
        </is>
      </c>
      <c r="E361" t="inlineStr">
        <is>
          <t>KLIPPAN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8713-2024</t>
        </is>
      </c>
      <c r="B362" s="1" t="n">
        <v>45356</v>
      </c>
      <c r="C362" s="1" t="n">
        <v>45720</v>
      </c>
      <c r="D362" t="inlineStr">
        <is>
          <t>SKÅNE LÄN</t>
        </is>
      </c>
      <c r="E362" t="inlineStr">
        <is>
          <t>KLIPPAN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11673-2024</t>
        </is>
      </c>
      <c r="B363" s="1" t="n">
        <v>45373</v>
      </c>
      <c r="C363" s="1" t="n">
        <v>45720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12642-2024</t>
        </is>
      </c>
      <c r="B364" s="1" t="n">
        <v>45384</v>
      </c>
      <c r="C364" s="1" t="n">
        <v>45720</v>
      </c>
      <c r="D364" t="inlineStr">
        <is>
          <t>SKÅNE LÄN</t>
        </is>
      </c>
      <c r="E364" t="inlineStr">
        <is>
          <t>KLIPPAN</t>
        </is>
      </c>
      <c r="G364" t="n">
        <v>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13663-2024</t>
        </is>
      </c>
      <c r="B365" s="1" t="n">
        <v>45390</v>
      </c>
      <c r="C365" s="1" t="n">
        <v>45720</v>
      </c>
      <c r="D365" t="inlineStr">
        <is>
          <t>SKÅNE LÄN</t>
        </is>
      </c>
      <c r="E365" t="inlineStr">
        <is>
          <t>KLIPPAN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14278-2024</t>
        </is>
      </c>
      <c r="B366" s="1" t="n">
        <v>45393</v>
      </c>
      <c r="C366" s="1" t="n">
        <v>45720</v>
      </c>
      <c r="D366" t="inlineStr">
        <is>
          <t>SKÅNE LÄN</t>
        </is>
      </c>
      <c r="E366" t="inlineStr">
        <is>
          <t>KLIPPAN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15065-2024</t>
        </is>
      </c>
      <c r="B367" s="1" t="n">
        <v>45399</v>
      </c>
      <c r="C367" s="1" t="n">
        <v>45720</v>
      </c>
      <c r="D367" t="inlineStr">
        <is>
          <t>SKÅNE LÄN</t>
        </is>
      </c>
      <c r="E367" t="inlineStr">
        <is>
          <t>KLIPPAN</t>
        </is>
      </c>
      <c r="F367" t="inlineStr">
        <is>
          <t>Övriga Aktiebolag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15070-2024</t>
        </is>
      </c>
      <c r="B368" s="1" t="n">
        <v>45399</v>
      </c>
      <c r="C368" s="1" t="n">
        <v>45720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15810-2024</t>
        </is>
      </c>
      <c r="B369" s="1" t="n">
        <v>45404</v>
      </c>
      <c r="C369" s="1" t="n">
        <v>45720</v>
      </c>
      <c r="D369" t="inlineStr">
        <is>
          <t>SKÅNE LÄN</t>
        </is>
      </c>
      <c r="E369" t="inlineStr">
        <is>
          <t>KLIPPAN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15812-2024</t>
        </is>
      </c>
      <c r="B370" s="1" t="n">
        <v>45404</v>
      </c>
      <c r="C370" s="1" t="n">
        <v>45720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17856-2024</t>
        </is>
      </c>
      <c r="B371" s="1" t="n">
        <v>45419</v>
      </c>
      <c r="C371" s="1" t="n">
        <v>45720</v>
      </c>
      <c r="D371" t="inlineStr">
        <is>
          <t>SKÅNE LÄN</t>
        </is>
      </c>
      <c r="E371" t="inlineStr">
        <is>
          <t>KLIPPAN</t>
        </is>
      </c>
      <c r="F371" t="inlineStr">
        <is>
          <t>Övriga Aktiebolag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19729-2024</t>
        </is>
      </c>
      <c r="B372" s="1" t="n">
        <v>45432</v>
      </c>
      <c r="C372" s="1" t="n">
        <v>45720</v>
      </c>
      <c r="D372" t="inlineStr">
        <is>
          <t>SKÅNE LÄN</t>
        </is>
      </c>
      <c r="E372" t="inlineStr">
        <is>
          <t>KLIPPAN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21636-2024</t>
        </is>
      </c>
      <c r="B373" s="1" t="n">
        <v>45442</v>
      </c>
      <c r="C373" s="1" t="n">
        <v>45720</v>
      </c>
      <c r="D373" t="inlineStr">
        <is>
          <t>SKÅNE LÄN</t>
        </is>
      </c>
      <c r="E373" t="inlineStr">
        <is>
          <t>KLIPPAN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21654-2024</t>
        </is>
      </c>
      <c r="B374" s="1" t="n">
        <v>45442</v>
      </c>
      <c r="C374" s="1" t="n">
        <v>45720</v>
      </c>
      <c r="D374" t="inlineStr">
        <is>
          <t>SKÅNE LÄN</t>
        </is>
      </c>
      <c r="E374" t="inlineStr">
        <is>
          <t>KLIPPAN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23905-2024</t>
        </is>
      </c>
      <c r="B375" s="1" t="n">
        <v>45455</v>
      </c>
      <c r="C375" s="1" t="n">
        <v>45720</v>
      </c>
      <c r="D375" t="inlineStr">
        <is>
          <t>SKÅNE LÄN</t>
        </is>
      </c>
      <c r="E375" t="inlineStr">
        <is>
          <t>KLIPPAN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24136-2024</t>
        </is>
      </c>
      <c r="B376" s="1" t="n">
        <v>45456</v>
      </c>
      <c r="C376" s="1" t="n">
        <v>45720</v>
      </c>
      <c r="D376" t="inlineStr">
        <is>
          <t>SKÅNE LÄN</t>
        </is>
      </c>
      <c r="E376" t="inlineStr">
        <is>
          <t>KLIPPAN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24126-2024</t>
        </is>
      </c>
      <c r="B377" s="1" t="n">
        <v>45456</v>
      </c>
      <c r="C377" s="1" t="n">
        <v>45720</v>
      </c>
      <c r="D377" t="inlineStr">
        <is>
          <t>SKÅNE LÄN</t>
        </is>
      </c>
      <c r="E377" t="inlineStr">
        <is>
          <t>KLIPPAN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24138-2024</t>
        </is>
      </c>
      <c r="B378" s="1" t="n">
        <v>45456</v>
      </c>
      <c r="C378" s="1" t="n">
        <v>45720</v>
      </c>
      <c r="D378" t="inlineStr">
        <is>
          <t>SKÅNE LÄN</t>
        </is>
      </c>
      <c r="E378" t="inlineStr">
        <is>
          <t>KLIPPAN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24861-2024</t>
        </is>
      </c>
      <c r="B379" s="1" t="n">
        <v>45461</v>
      </c>
      <c r="C379" s="1" t="n">
        <v>45720</v>
      </c>
      <c r="D379" t="inlineStr">
        <is>
          <t>SKÅNE LÄN</t>
        </is>
      </c>
      <c r="E379" t="inlineStr">
        <is>
          <t>KLIPPAN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27452-2024</t>
        </is>
      </c>
      <c r="B380" s="1" t="n">
        <v>45474</v>
      </c>
      <c r="C380" s="1" t="n">
        <v>45720</v>
      </c>
      <c r="D380" t="inlineStr">
        <is>
          <t>SKÅNE LÄN</t>
        </is>
      </c>
      <c r="E380" t="inlineStr">
        <is>
          <t>KLIPPAN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27454-2024</t>
        </is>
      </c>
      <c r="B381" s="1" t="n">
        <v>45474</v>
      </c>
      <c r="C381" s="1" t="n">
        <v>45720</v>
      </c>
      <c r="D381" t="inlineStr">
        <is>
          <t>SKÅNE LÄN</t>
        </is>
      </c>
      <c r="E381" t="inlineStr">
        <is>
          <t>KLIPPAN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29877-2024</t>
        </is>
      </c>
      <c r="B382" s="1" t="n">
        <v>45486</v>
      </c>
      <c r="C382" s="1" t="n">
        <v>45720</v>
      </c>
      <c r="D382" t="inlineStr">
        <is>
          <t>SKÅNE LÄN</t>
        </is>
      </c>
      <c r="E382" t="inlineStr">
        <is>
          <t>KLIPPAN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32838-2024</t>
        </is>
      </c>
      <c r="B383" s="1" t="n">
        <v>45516</v>
      </c>
      <c r="C383" s="1" t="n">
        <v>45720</v>
      </c>
      <c r="D383" t="inlineStr">
        <is>
          <t>SKÅNE LÄN</t>
        </is>
      </c>
      <c r="E383" t="inlineStr">
        <is>
          <t>KLIPPAN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33331-2024</t>
        </is>
      </c>
      <c r="B384" s="1" t="n">
        <v>45519</v>
      </c>
      <c r="C384" s="1" t="n">
        <v>45720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34051-2024</t>
        </is>
      </c>
      <c r="B385" s="1" t="n">
        <v>45523</v>
      </c>
      <c r="C385" s="1" t="n">
        <v>45720</v>
      </c>
      <c r="D385" t="inlineStr">
        <is>
          <t>SKÅNE LÄN</t>
        </is>
      </c>
      <c r="E385" t="inlineStr">
        <is>
          <t>KLIPPAN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34161-2024</t>
        </is>
      </c>
      <c r="B386" s="1" t="n">
        <v>45524</v>
      </c>
      <c r="C386" s="1" t="n">
        <v>45720</v>
      </c>
      <c r="D386" t="inlineStr">
        <is>
          <t>SKÅNE LÄN</t>
        </is>
      </c>
      <c r="E386" t="inlineStr">
        <is>
          <t>KLIPPAN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34162-2024</t>
        </is>
      </c>
      <c r="B387" s="1" t="n">
        <v>45524</v>
      </c>
      <c r="C387" s="1" t="n">
        <v>45720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36606-2024</t>
        </is>
      </c>
      <c r="B388" s="1" t="n">
        <v>45537</v>
      </c>
      <c r="C388" s="1" t="n">
        <v>45720</v>
      </c>
      <c r="D388" t="inlineStr">
        <is>
          <t>SKÅNE LÄN</t>
        </is>
      </c>
      <c r="E388" t="inlineStr">
        <is>
          <t>KLIPPAN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36842-2024</t>
        </is>
      </c>
      <c r="B389" s="1" t="n">
        <v>45538</v>
      </c>
      <c r="C389" s="1" t="n">
        <v>45720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37967-2024</t>
        </is>
      </c>
      <c r="B390" s="1" t="n">
        <v>45544</v>
      </c>
      <c r="C390" s="1" t="n">
        <v>45720</v>
      </c>
      <c r="D390" t="inlineStr">
        <is>
          <t>SKÅNE LÄN</t>
        </is>
      </c>
      <c r="E390" t="inlineStr">
        <is>
          <t>KLIPPAN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39097-2024</t>
        </is>
      </c>
      <c r="B391" s="1" t="n">
        <v>45548</v>
      </c>
      <c r="C391" s="1" t="n">
        <v>45720</v>
      </c>
      <c r="D391" t="inlineStr">
        <is>
          <t>SKÅNE LÄN</t>
        </is>
      </c>
      <c r="E391" t="inlineStr">
        <is>
          <t>KLIPPAN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39376-2024</t>
        </is>
      </c>
      <c r="B392" s="1" t="n">
        <v>45551</v>
      </c>
      <c r="C392" s="1" t="n">
        <v>45720</v>
      </c>
      <c r="D392" t="inlineStr">
        <is>
          <t>SKÅNE LÄN</t>
        </is>
      </c>
      <c r="E392" t="inlineStr">
        <is>
          <t>KLIPPAN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40161-2024</t>
        </is>
      </c>
      <c r="B393" s="1" t="n">
        <v>45554</v>
      </c>
      <c r="C393" s="1" t="n">
        <v>45720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40173-2024</t>
        </is>
      </c>
      <c r="B394" s="1" t="n">
        <v>45554</v>
      </c>
      <c r="C394" s="1" t="n">
        <v>45720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42275-2024</t>
        </is>
      </c>
      <c r="B395" s="1" t="n">
        <v>45562</v>
      </c>
      <c r="C395" s="1" t="n">
        <v>45720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42284-2024</t>
        </is>
      </c>
      <c r="B396" s="1" t="n">
        <v>45562</v>
      </c>
      <c r="C396" s="1" t="n">
        <v>45720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42281-2024</t>
        </is>
      </c>
      <c r="B397" s="1" t="n">
        <v>45562</v>
      </c>
      <c r="C397" s="1" t="n">
        <v>45720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42303-2024</t>
        </is>
      </c>
      <c r="B398" s="1" t="n">
        <v>45562</v>
      </c>
      <c r="C398" s="1" t="n">
        <v>45720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44228-2024</t>
        </is>
      </c>
      <c r="B399" s="1" t="n">
        <v>45573</v>
      </c>
      <c r="C399" s="1" t="n">
        <v>45720</v>
      </c>
      <c r="D399" t="inlineStr">
        <is>
          <t>SKÅNE LÄN</t>
        </is>
      </c>
      <c r="E399" t="inlineStr">
        <is>
          <t>KLIPPAN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45003-2024</t>
        </is>
      </c>
      <c r="B400" s="1" t="n">
        <v>45575</v>
      </c>
      <c r="C400" s="1" t="n">
        <v>45720</v>
      </c>
      <c r="D400" t="inlineStr">
        <is>
          <t>SKÅNE LÄN</t>
        </is>
      </c>
      <c r="E400" t="inlineStr">
        <is>
          <t>KLIPPAN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45596-2024</t>
        </is>
      </c>
      <c r="B401" s="1" t="n">
        <v>45579</v>
      </c>
      <c r="C401" s="1" t="n">
        <v>45720</v>
      </c>
      <c r="D401" t="inlineStr">
        <is>
          <t>SKÅNE LÄN</t>
        </is>
      </c>
      <c r="E401" t="inlineStr">
        <is>
          <t>KLIPPAN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46260-2024</t>
        </is>
      </c>
      <c r="B402" s="1" t="n">
        <v>45581</v>
      </c>
      <c r="C402" s="1" t="n">
        <v>45720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46257-2024</t>
        </is>
      </c>
      <c r="B403" s="1" t="n">
        <v>45581</v>
      </c>
      <c r="C403" s="1" t="n">
        <v>45720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46253-2024</t>
        </is>
      </c>
      <c r="B404" s="1" t="n">
        <v>45581</v>
      </c>
      <c r="C404" s="1" t="n">
        <v>45720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9.300000000000001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46615-2024</t>
        </is>
      </c>
      <c r="B405" s="1" t="n">
        <v>45583</v>
      </c>
      <c r="C405" s="1" t="n">
        <v>45720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46619-2024</t>
        </is>
      </c>
      <c r="B406" s="1" t="n">
        <v>45583</v>
      </c>
      <c r="C406" s="1" t="n">
        <v>45720</v>
      </c>
      <c r="D406" t="inlineStr">
        <is>
          <t>SKÅNE LÄN</t>
        </is>
      </c>
      <c r="E406" t="inlineStr">
        <is>
          <t>KLIPPAN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47849-2024</t>
        </is>
      </c>
      <c r="B407" s="1" t="n">
        <v>45588</v>
      </c>
      <c r="C407" s="1" t="n">
        <v>45720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47856-2024</t>
        </is>
      </c>
      <c r="B408" s="1" t="n">
        <v>45588</v>
      </c>
      <c r="C408" s="1" t="n">
        <v>45720</v>
      </c>
      <c r="D408" t="inlineStr">
        <is>
          <t>SKÅNE LÄN</t>
        </is>
      </c>
      <c r="E408" t="inlineStr">
        <is>
          <t>KLIPPAN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48180-2024</t>
        </is>
      </c>
      <c r="B409" s="1" t="n">
        <v>45589</v>
      </c>
      <c r="C409" s="1" t="n">
        <v>45720</v>
      </c>
      <c r="D409" t="inlineStr">
        <is>
          <t>SKÅNE LÄN</t>
        </is>
      </c>
      <c r="E409" t="inlineStr">
        <is>
          <t>KLIPPAN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49073-2024</t>
        </is>
      </c>
      <c r="B410" s="1" t="n">
        <v>45594</v>
      </c>
      <c r="C410" s="1" t="n">
        <v>45720</v>
      </c>
      <c r="D410" t="inlineStr">
        <is>
          <t>SKÅNE LÄN</t>
        </is>
      </c>
      <c r="E410" t="inlineStr">
        <is>
          <t>KLIPPAN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49989-2024</t>
        </is>
      </c>
      <c r="B411" s="1" t="n">
        <v>45597</v>
      </c>
      <c r="C411" s="1" t="n">
        <v>45720</v>
      </c>
      <c r="D411" t="inlineStr">
        <is>
          <t>SKÅNE LÄN</t>
        </is>
      </c>
      <c r="E411" t="inlineStr">
        <is>
          <t>KLIPPAN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51276-2024</t>
        </is>
      </c>
      <c r="B412" s="1" t="n">
        <v>45603</v>
      </c>
      <c r="C412" s="1" t="n">
        <v>45720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52107-2024</t>
        </is>
      </c>
      <c r="B413" s="1" t="n">
        <v>45608</v>
      </c>
      <c r="C413" s="1" t="n">
        <v>45720</v>
      </c>
      <c r="D413" t="inlineStr">
        <is>
          <t>SKÅNE LÄN</t>
        </is>
      </c>
      <c r="E413" t="inlineStr">
        <is>
          <t>KLIPPAN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52851-2024</t>
        </is>
      </c>
      <c r="B414" s="1" t="n">
        <v>45610</v>
      </c>
      <c r="C414" s="1" t="n">
        <v>45720</v>
      </c>
      <c r="D414" t="inlineStr">
        <is>
          <t>SKÅNE LÄN</t>
        </is>
      </c>
      <c r="E414" t="inlineStr">
        <is>
          <t>KLIPPAN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52867-2024</t>
        </is>
      </c>
      <c r="B415" s="1" t="n">
        <v>45610</v>
      </c>
      <c r="C415" s="1" t="n">
        <v>45720</v>
      </c>
      <c r="D415" t="inlineStr">
        <is>
          <t>SKÅNE LÄN</t>
        </is>
      </c>
      <c r="E415" t="inlineStr">
        <is>
          <t>KLIPPAN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52871-2024</t>
        </is>
      </c>
      <c r="B416" s="1" t="n">
        <v>45610</v>
      </c>
      <c r="C416" s="1" t="n">
        <v>45720</v>
      </c>
      <c r="D416" t="inlineStr">
        <is>
          <t>SKÅNE LÄN</t>
        </is>
      </c>
      <c r="E416" t="inlineStr">
        <is>
          <t>KLIPPAN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52838-2024</t>
        </is>
      </c>
      <c r="B417" s="1" t="n">
        <v>45610</v>
      </c>
      <c r="C417" s="1" t="n">
        <v>45720</v>
      </c>
      <c r="D417" t="inlineStr">
        <is>
          <t>SKÅNE LÄN</t>
        </is>
      </c>
      <c r="E417" t="inlineStr">
        <is>
          <t>KLIPPAN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52882-2024</t>
        </is>
      </c>
      <c r="B418" s="1" t="n">
        <v>45610</v>
      </c>
      <c r="C418" s="1" t="n">
        <v>45720</v>
      </c>
      <c r="D418" t="inlineStr">
        <is>
          <t>SKÅNE LÄN</t>
        </is>
      </c>
      <c r="E418" t="inlineStr">
        <is>
          <t>KLIPPAN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54822-2024</t>
        </is>
      </c>
      <c r="B419" s="1" t="n">
        <v>45618</v>
      </c>
      <c r="C419" s="1" t="n">
        <v>45720</v>
      </c>
      <c r="D419" t="inlineStr">
        <is>
          <t>SKÅNE LÄN</t>
        </is>
      </c>
      <c r="E419" t="inlineStr">
        <is>
          <t>KLIPPAN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56879-2024</t>
        </is>
      </c>
      <c r="B420" s="1" t="n">
        <v>45628</v>
      </c>
      <c r="C420" s="1" t="n">
        <v>45720</v>
      </c>
      <c r="D420" t="inlineStr">
        <is>
          <t>SKÅNE LÄN</t>
        </is>
      </c>
      <c r="E420" t="inlineStr">
        <is>
          <t>KLIPPAN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57444-2024</t>
        </is>
      </c>
      <c r="B421" s="1" t="n">
        <v>45629</v>
      </c>
      <c r="C421" s="1" t="n">
        <v>45720</v>
      </c>
      <c r="D421" t="inlineStr">
        <is>
          <t>SKÅNE LÄN</t>
        </is>
      </c>
      <c r="E421" t="inlineStr">
        <is>
          <t>KLIPPAN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59480-2024</t>
        </is>
      </c>
      <c r="B422" s="1" t="n">
        <v>45638</v>
      </c>
      <c r="C422" s="1" t="n">
        <v>45720</v>
      </c>
      <c r="D422" t="inlineStr">
        <is>
          <t>SKÅNE LÄN</t>
        </is>
      </c>
      <c r="E422" t="inlineStr">
        <is>
          <t>KLIPPAN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59482-2024</t>
        </is>
      </c>
      <c r="B423" s="1" t="n">
        <v>45638</v>
      </c>
      <c r="C423" s="1" t="n">
        <v>45720</v>
      </c>
      <c r="D423" t="inlineStr">
        <is>
          <t>SKÅNE LÄN</t>
        </is>
      </c>
      <c r="E423" t="inlineStr">
        <is>
          <t>KLIPPAN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61118-2024</t>
        </is>
      </c>
      <c r="B424" s="1" t="n">
        <v>45645</v>
      </c>
      <c r="C424" s="1" t="n">
        <v>45720</v>
      </c>
      <c r="D424" t="inlineStr">
        <is>
          <t>SKÅNE LÄN</t>
        </is>
      </c>
      <c r="E424" t="inlineStr">
        <is>
          <t>KLIPPAN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243-2025</t>
        </is>
      </c>
      <c r="B425" s="1" t="n">
        <v>45660</v>
      </c>
      <c r="C425" s="1" t="n">
        <v>45720</v>
      </c>
      <c r="D425" t="inlineStr">
        <is>
          <t>SKÅNE LÄN</t>
        </is>
      </c>
      <c r="E425" t="inlineStr">
        <is>
          <t>KLIPPAN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853-2025</t>
        </is>
      </c>
      <c r="B426" s="1" t="n">
        <v>45665</v>
      </c>
      <c r="C426" s="1" t="n">
        <v>45720</v>
      </c>
      <c r="D426" t="inlineStr">
        <is>
          <t>SKÅNE LÄN</t>
        </is>
      </c>
      <c r="E426" t="inlineStr">
        <is>
          <t>KLIPPAN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2083-2025</t>
        </is>
      </c>
      <c r="B427" s="1" t="n">
        <v>45672</v>
      </c>
      <c r="C427" s="1" t="n">
        <v>45720</v>
      </c>
      <c r="D427" t="inlineStr">
        <is>
          <t>SKÅNE LÄN</t>
        </is>
      </c>
      <c r="E427" t="inlineStr">
        <is>
          <t>KLIPPAN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45720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2262-2025</t>
        </is>
      </c>
      <c r="B429" s="1" t="n">
        <v>45673</v>
      </c>
      <c r="C429" s="1" t="n">
        <v>45720</v>
      </c>
      <c r="D429" t="inlineStr">
        <is>
          <t>SKÅNE LÄN</t>
        </is>
      </c>
      <c r="E429" t="inlineStr">
        <is>
          <t>KLIPPAN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2252-2025</t>
        </is>
      </c>
      <c r="B430" s="1" t="n">
        <v>45673</v>
      </c>
      <c r="C430" s="1" t="n">
        <v>45720</v>
      </c>
      <c r="D430" t="inlineStr">
        <is>
          <t>SKÅNE LÄN</t>
        </is>
      </c>
      <c r="E430" t="inlineStr">
        <is>
          <t>KLIPPAN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4820-2025</t>
        </is>
      </c>
      <c r="B431" s="1" t="n">
        <v>45688</v>
      </c>
      <c r="C431" s="1" t="n">
        <v>45720</v>
      </c>
      <c r="D431" t="inlineStr">
        <is>
          <t>SKÅNE LÄN</t>
        </is>
      </c>
      <c r="E431" t="inlineStr">
        <is>
          <t>KLIPPAN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6011-2025</t>
        </is>
      </c>
      <c r="B432" s="1" t="n">
        <v>45695</v>
      </c>
      <c r="C432" s="1" t="n">
        <v>45720</v>
      </c>
      <c r="D432" t="inlineStr">
        <is>
          <t>SKÅNE LÄN</t>
        </is>
      </c>
      <c r="E432" t="inlineStr">
        <is>
          <t>KLIPPAN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7515-2025</t>
        </is>
      </c>
      <c r="B433" s="1" t="n">
        <v>45702</v>
      </c>
      <c r="C433" s="1" t="n">
        <v>45720</v>
      </c>
      <c r="D433" t="inlineStr">
        <is>
          <t>SKÅNE LÄN</t>
        </is>
      </c>
      <c r="E433" t="inlineStr">
        <is>
          <t>KLIPPAN</t>
        </is>
      </c>
      <c r="F433" t="inlineStr">
        <is>
          <t>Övriga Aktiebolag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7661-2025</t>
        </is>
      </c>
      <c r="B434" s="1" t="n">
        <v>45706</v>
      </c>
      <c r="C434" s="1" t="n">
        <v>45720</v>
      </c>
      <c r="D434" t="inlineStr">
        <is>
          <t>SKÅNE LÄN</t>
        </is>
      </c>
      <c r="E434" t="inlineStr">
        <is>
          <t>KLIPPAN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7659-2025</t>
        </is>
      </c>
      <c r="B435" s="1" t="n">
        <v>45706</v>
      </c>
      <c r="C435" s="1" t="n">
        <v>45720</v>
      </c>
      <c r="D435" t="inlineStr">
        <is>
          <t>SKÅNE LÄN</t>
        </is>
      </c>
      <c r="E435" t="inlineStr">
        <is>
          <t>KLIPPAN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45720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45720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9999-2025</t>
        </is>
      </c>
      <c r="B438" s="1" t="n">
        <v>45719</v>
      </c>
      <c r="C438" s="1" t="n">
        <v>45720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2025-03-04T17:14:42Z</dcterms:created>
  <dcterms:modified xmlns:dcterms="http://purl.org/dc/terms/" xmlns:xsi="http://www.w3.org/2001/XMLSchema-instance" xsi:type="dcterms:W3CDTF">2025-03-04T17:14:42Z</dcterms:modified>
</cp:coreProperties>
</file>