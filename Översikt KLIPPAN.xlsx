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46286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46286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46286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46286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46286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46286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46286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46286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46286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46286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46286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46286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46286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46286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46286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46286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46286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46286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46286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46286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46286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46286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46286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46286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46286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46286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46286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46286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46286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46286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46286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46286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46286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46286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46286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46286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46286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46286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A 37224-2026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46274</v>
      </c>
      <c r="E43" s="1" t="n">
        <v>46286</v>
      </c>
      <c r="F43" t="inlineStr">
        <is>
          <t>SKÅNE LÄN</t>
        </is>
      </c>
      <c r="G43" t="inlineStr">
        <is>
          <t>KLIPPAN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Vanlig groda</t>
        </is>
      </c>
      <c r="W43">
        <f>HYPERLINK("https://klasma.github.io/Logging_1276/artfynd/A 37224-2026 artfynd.xlsx", "A 37224-2026")</f>
        <v/>
      </c>
      <c r="X43">
        <f>HYPERLINK("https://klasma.github.io/Logging_1276/kartor/A 37224-2026 karta.png", "A 37224-2026")</f>
        <v/>
      </c>
      <c r="Y43">
        <f>HYPERLINK("https://klasma.github.io/Logging_1276/kartor_geotiff/A 37224-2026 georefererad karta.tif", "A 37224-2026")</f>
        <v/>
      </c>
      <c r="AA43">
        <f>HYPERLINK("https://klasma.github.io/Logging_1276/klagomål/A 37224-2026 FSC-klagomål.docx", "A 37224-2026")</f>
        <v/>
      </c>
      <c r="AB43">
        <f>HYPERLINK("https://klasma.github.io/Logging_1276/klagomålsmail/A 37224-2026 FSC-klagomål mail.docx", "A 37224-2026")</f>
        <v/>
      </c>
      <c r="AC43">
        <f>HYPERLINK("https://klasma.github.io/Logging_1276/tillsyn/A 37224-2026 tillsynsbegäran.docx", "A 37224-2026")</f>
        <v/>
      </c>
      <c r="AD43">
        <f>HYPERLINK("https://klasma.github.io/Logging_1276/tillsynsmail/A 37224-2026 tillsynsbegäran mail.docx", "A 37224-2026")</f>
        <v/>
      </c>
    </row>
    <row r="44" ht="15" customHeight="1">
      <c r="A44" t="inlineStr">
        <is>
          <t>S 841-2023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44992</v>
      </c>
      <c r="E44" s="1" t="n">
        <v>46286</v>
      </c>
      <c r="F44" t="inlineStr">
        <is>
          <t>SKÅNE LÄN</t>
        </is>
      </c>
      <c r="G44" t="inlineStr">
        <is>
          <t>KLIPPAN</t>
        </is>
      </c>
      <c r="I44" t="n">
        <v>23.9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HYPERLINK("https://klasma.github.io/Logging_1276/artfynd/S 841-2023 artfynd.xlsx", "S 841-2023")</f>
        <v/>
      </c>
      <c r="X44">
        <f>HYPERLINK("https://klasma.github.io/Logging_1276/kartor/S 841-2023 karta.png", "S 841-2023")</f>
        <v/>
      </c>
      <c r="Y44">
        <f>HYPERLINK("https://klasma.github.io/Logging_1276/kartor_geotiff/S 841-2023 georefererad karta.tif", "S 841-2023")</f>
        <v/>
      </c>
      <c r="AA44">
        <f>HYPERLINK("https://klasma.github.io/Logging_1276/klagomål/S 841-2023 FSC-klagomål.docx", "S 841-2023")</f>
        <v/>
      </c>
      <c r="AB44">
        <f>HYPERLINK("https://klasma.github.io/Logging_1276/klagomålsmail/S 841-2023 FSC-klagomål mail.docx", "S 841-2023")</f>
        <v/>
      </c>
      <c r="AC44">
        <f>HYPERLINK("https://klasma.github.io/Logging_1276/tillsyn/S 841-2023 tillsynsbegäran.docx", "S 841-2023")</f>
        <v/>
      </c>
      <c r="AD44">
        <f>HYPERLINK("https://klasma.github.io/Logging_1276/tillsynsmail/S 841-2023 tillsynsbegäran mail.docx", "S 841-2023")</f>
        <v/>
      </c>
    </row>
    <row r="45" ht="15" customHeight="1">
      <c r="A45" t="inlineStr">
        <is>
          <t>S 3667-2023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45217</v>
      </c>
      <c r="E45" s="1" t="n">
        <v>46286</v>
      </c>
      <c r="F45" t="inlineStr">
        <is>
          <t>SKÅNE LÄN</t>
        </is>
      </c>
      <c r="G45" t="inlineStr">
        <is>
          <t>KLIPPAN</t>
        </is>
      </c>
      <c r="I45" t="n">
        <v>186.4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HYPERLINK("https://klasma.github.io/Logging_1276/artfynd/S 3667-2023 artfynd.xlsx", "S 3667-2023")</f>
        <v/>
      </c>
      <c r="X45">
        <f>HYPERLINK("https://klasma.github.io/Logging_1276/kartor/S 3667-2023 karta.png", "S 3667-2023")</f>
        <v/>
      </c>
      <c r="Y45">
        <f>HYPERLINK("https://klasma.github.io/Logging_1276/kartor_geotiff/S 3667-2023 georefererad karta.tif", "S 3667-2023")</f>
        <v/>
      </c>
      <c r="AA45">
        <f>HYPERLINK("https://klasma.github.io/Logging_1276/klagomål/S 3667-2023 FSC-klagomål.docx", "S 3667-2023")</f>
        <v/>
      </c>
      <c r="AB45">
        <f>HYPERLINK("https://klasma.github.io/Logging_1276/klagomålsmail/S 3667-2023 FSC-klagomål mail.docx", "S 3667-2023")</f>
        <v/>
      </c>
      <c r="AC45">
        <f>HYPERLINK("https://klasma.github.io/Logging_1276/tillsyn/S 3667-2023 tillsynsbegäran.docx", "S 3667-2023")</f>
        <v/>
      </c>
      <c r="AD45">
        <f>HYPERLINK("https://klasma.github.io/Logging_1276/tillsynsmail/S 3667-2023 tillsynsbegäran mail.docx", "S 3667-2023")</f>
        <v/>
      </c>
    </row>
    <row r="46" ht="15" customHeight="1">
      <c r="A46" t="inlineStr">
        <is>
          <t>S 5988-2022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44859</v>
      </c>
      <c r="E46" s="1" t="n">
        <v>46286</v>
      </c>
      <c r="F46" t="inlineStr">
        <is>
          <t>SKÅNE LÄN</t>
        </is>
      </c>
      <c r="G46" t="inlineStr">
        <is>
          <t>KLIPPAN</t>
        </is>
      </c>
      <c r="I46" t="n">
        <v>27.8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HYPERLINK("https://klasma.github.io/Logging_1276/artfynd/S 5988-2022 artfynd.xlsx", "S 5988-2022")</f>
        <v/>
      </c>
      <c r="X46">
        <f>HYPERLINK("https://klasma.github.io/Logging_1276/kartor/S 5988-2022 karta.png", "S 5988-2022")</f>
        <v/>
      </c>
      <c r="Y46">
        <f>HYPERLINK("https://klasma.github.io/Logging_1276/kartor_geotiff/S 5988-2022 georefererad karta.tif", "S 5988-2022")</f>
        <v/>
      </c>
      <c r="AA46">
        <f>HYPERLINK("https://klasma.github.io/Logging_1276/klagomål/S 5988-2022 FSC-klagomål.docx", "S 5988-2022")</f>
        <v/>
      </c>
      <c r="AB46">
        <f>HYPERLINK("https://klasma.github.io/Logging_1276/klagomålsmail/S 5988-2022 FSC-klagomål mail.docx", "S 5988-2022")</f>
        <v/>
      </c>
      <c r="AC46">
        <f>HYPERLINK("https://klasma.github.io/Logging_1276/tillsyn/S 5988-2022 tillsynsbegäran.docx", "S 5988-2022")</f>
        <v/>
      </c>
      <c r="AD46">
        <f>HYPERLINK("https://klasma.github.io/Logging_1276/tillsynsmail/S 5988-2022 tillsynsbegäran mail.docx", "S 5988-2022")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46286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A 55629-2022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46286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55637-2022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46286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46286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46286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46286</v>
      </c>
      <c r="F52" t="inlineStr">
        <is>
          <t>SKÅNE LÄN</t>
        </is>
      </c>
      <c r="G52" t="inlineStr">
        <is>
          <t>KLIPPAN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46286</v>
      </c>
      <c r="F53" t="inlineStr">
        <is>
          <t>SKÅNE LÄN</t>
        </is>
      </c>
      <c r="G53" t="inlineStr">
        <is>
          <t>KLIPPAN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46286</v>
      </c>
      <c r="F54" t="inlineStr">
        <is>
          <t>SKÅNE LÄN</t>
        </is>
      </c>
      <c r="G54" t="inlineStr">
        <is>
          <t>KLIPPAN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69392-2021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46286</v>
      </c>
      <c r="F55" t="inlineStr">
        <is>
          <t>SKÅNE LÄN</t>
        </is>
      </c>
      <c r="G55" t="inlineStr">
        <is>
          <t>KLIPPAN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46286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46286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46286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46286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44608</v>
      </c>
      <c r="E60" s="1" t="n">
        <v>46286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46286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46286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46286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46286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46286</v>
      </c>
      <c r="F65" t="inlineStr">
        <is>
          <t>SKÅNE LÄN</t>
        </is>
      </c>
      <c r="G65" t="inlineStr">
        <is>
          <t>KLIPPAN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46286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46286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46286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46286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46286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45079</v>
      </c>
      <c r="E71" s="1" t="n">
        <v>46286</v>
      </c>
      <c r="F71" t="inlineStr">
        <is>
          <t>SKÅNE LÄN</t>
        </is>
      </c>
      <c r="G71" t="inlineStr">
        <is>
          <t>KLIPPAN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46286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46286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28844-2023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46286</v>
      </c>
      <c r="F74" t="inlineStr">
        <is>
          <t>SKÅNE LÄN</t>
        </is>
      </c>
      <c r="G74" t="inlineStr">
        <is>
          <t>KLIPPAN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46286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46286</v>
      </c>
      <c r="F76" t="inlineStr">
        <is>
          <t>SKÅNE LÄN</t>
        </is>
      </c>
      <c r="G76" t="inlineStr">
        <is>
          <t>KLIPPAN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46286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46286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46286</v>
      </c>
      <c r="F79" t="inlineStr">
        <is>
          <t>SKÅNE LÄN</t>
        </is>
      </c>
      <c r="G79" t="inlineStr">
        <is>
          <t>KLIPPAN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45399</v>
      </c>
      <c r="E80" s="1" t="n">
        <v>46286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46286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46286</v>
      </c>
      <c r="F82" t="inlineStr">
        <is>
          <t>SKÅNE LÄN</t>
        </is>
      </c>
      <c r="G82" t="inlineStr">
        <is>
          <t>KLIPPAN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46286</v>
      </c>
      <c r="F83" t="inlineStr">
        <is>
          <t>SKÅNE LÄN</t>
        </is>
      </c>
      <c r="G83" t="inlineStr">
        <is>
          <t>KLIPPAN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46286</v>
      </c>
      <c r="F84" t="inlineStr">
        <is>
          <t>SKÅNE LÄN</t>
        </is>
      </c>
      <c r="G84" t="inlineStr">
        <is>
          <t>KLIPPAN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46286</v>
      </c>
      <c r="F85" t="inlineStr">
        <is>
          <t>SKÅNE LÄN</t>
        </is>
      </c>
      <c r="G85" t="inlineStr">
        <is>
          <t>KLIPPAN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45260</v>
      </c>
      <c r="E86" s="1" t="n">
        <v>46286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46286</v>
      </c>
      <c r="F87" t="inlineStr">
        <is>
          <t>SKÅNE LÄN</t>
        </is>
      </c>
      <c r="G87" t="inlineStr">
        <is>
          <t>KLIPPAN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46286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46286</v>
      </c>
      <c r="F89" t="inlineStr">
        <is>
          <t>SKÅNE LÄN</t>
        </is>
      </c>
      <c r="G89" t="inlineStr">
        <is>
          <t>KLIPPAN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46286</v>
      </c>
      <c r="F90" t="inlineStr">
        <is>
          <t>SKÅNE LÄN</t>
        </is>
      </c>
      <c r="G90" t="inlineStr">
        <is>
          <t>KLIPPAN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46286</v>
      </c>
      <c r="F91" t="inlineStr">
        <is>
          <t>SKÅNE LÄN</t>
        </is>
      </c>
      <c r="G91" t="inlineStr">
        <is>
          <t>KLIPPAN</t>
        </is>
      </c>
      <c r="H91" t="inlineStr">
        <is>
          <t>Övriga Aktiebolag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45739</v>
      </c>
      <c r="E92" s="1" t="n">
        <v>46286</v>
      </c>
      <c r="F92" t="inlineStr">
        <is>
          <t>SKÅNE LÄN</t>
        </is>
      </c>
      <c r="G92" t="inlineStr">
        <is>
          <t>KLIPPAN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46286</v>
      </c>
      <c r="F93" t="inlineStr">
        <is>
          <t>SKÅNE LÄN</t>
        </is>
      </c>
      <c r="G93" t="inlineStr">
        <is>
          <t>KLIPPAN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46286</v>
      </c>
      <c r="F94" t="inlineStr">
        <is>
          <t>SKÅNE LÄN</t>
        </is>
      </c>
      <c r="G94" t="inlineStr">
        <is>
          <t>KLIPPAN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45581</v>
      </c>
      <c r="E95" s="1" t="n">
        <v>46286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46286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46286</v>
      </c>
      <c r="F97" t="inlineStr">
        <is>
          <t>SKÅNE LÄN</t>
        </is>
      </c>
      <c r="G97" t="inlineStr">
        <is>
          <t>KLIPPAN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46286</v>
      </c>
      <c r="F98" t="inlineStr">
        <is>
          <t>SKÅNE LÄN</t>
        </is>
      </c>
      <c r="G98" t="inlineStr">
        <is>
          <t>KLIPPAN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55588-2021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44475</v>
      </c>
      <c r="E99" s="1" t="n">
        <v>46286</v>
      </c>
      <c r="F99" t="inlineStr">
        <is>
          <t>SKÅNE LÄN</t>
        </is>
      </c>
      <c r="G99" t="inlineStr">
        <is>
          <t>KLIPPAN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45224</v>
      </c>
      <c r="E100" s="1" t="n">
        <v>46286</v>
      </c>
      <c r="F100" t="inlineStr">
        <is>
          <t>SKÅNE LÄN</t>
        </is>
      </c>
      <c r="G100" t="inlineStr">
        <is>
          <t>KLIPPAN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46286</v>
      </c>
      <c r="F101" t="inlineStr">
        <is>
          <t>SKÅNE LÄN</t>
        </is>
      </c>
      <c r="G101" t="inlineStr">
        <is>
          <t>KLIPPAN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46286</v>
      </c>
      <c r="F102" t="inlineStr">
        <is>
          <t>SKÅNE LÄN</t>
        </is>
      </c>
      <c r="G102" t="inlineStr">
        <is>
          <t>KLIPPAN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46286</v>
      </c>
      <c r="F103" t="inlineStr">
        <is>
          <t>SKÅNE LÄN</t>
        </is>
      </c>
      <c r="G103" t="inlineStr">
        <is>
          <t>KLIPPAN</t>
        </is>
      </c>
      <c r="I103" t="n">
        <v>20.9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46286</v>
      </c>
      <c r="F104" t="inlineStr">
        <is>
          <t>SKÅNE LÄN</t>
        </is>
      </c>
      <c r="G104" t="inlineStr">
        <is>
          <t>KLIPPAN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46286</v>
      </c>
      <c r="F105" t="inlineStr">
        <is>
          <t>SKÅNE LÄN</t>
        </is>
      </c>
      <c r="G105" t="inlineStr">
        <is>
          <t>KLIPPAN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46286</v>
      </c>
      <c r="F106" t="inlineStr">
        <is>
          <t>SKÅNE LÄN</t>
        </is>
      </c>
      <c r="G106" t="inlineStr">
        <is>
          <t>KLIPPAN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46286</v>
      </c>
      <c r="F107" t="inlineStr">
        <is>
          <t>SKÅNE LÄN</t>
        </is>
      </c>
      <c r="G107" t="inlineStr">
        <is>
          <t>KLIPPAN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46286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46286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46286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55833-2023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45239</v>
      </c>
      <c r="E111" s="1" t="n">
        <v>46286</v>
      </c>
      <c r="F111" t="inlineStr">
        <is>
          <t>SKÅNE LÄN</t>
        </is>
      </c>
      <c r="G111" t="inlineStr">
        <is>
          <t>KLIPPAN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45055</v>
      </c>
      <c r="E112" s="1" t="n">
        <v>46286</v>
      </c>
      <c r="F112" t="inlineStr">
        <is>
          <t>SKÅNE LÄN</t>
        </is>
      </c>
      <c r="G112" t="inlineStr">
        <is>
          <t>KLIPPAN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45673</v>
      </c>
      <c r="E113" s="1" t="n">
        <v>46286</v>
      </c>
      <c r="F113" t="inlineStr">
        <is>
          <t>SKÅNE LÄN</t>
        </is>
      </c>
      <c r="G113" t="inlineStr">
        <is>
          <t>KLIPPAN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46286</v>
      </c>
      <c r="F114" t="inlineStr">
        <is>
          <t>SKÅNE LÄN</t>
        </is>
      </c>
      <c r="G114" t="inlineStr">
        <is>
          <t>KLIPPAN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46286</v>
      </c>
      <c r="F115" t="inlineStr">
        <is>
          <t>SKÅNE LÄN</t>
        </is>
      </c>
      <c r="G115" t="inlineStr">
        <is>
          <t>KLIPPAN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46286</v>
      </c>
      <c r="F116" t="inlineStr">
        <is>
          <t>SKÅNE LÄN</t>
        </is>
      </c>
      <c r="G116" t="inlineStr">
        <is>
          <t>KLIPPAN</t>
        </is>
      </c>
      <c r="H116" t="inlineStr">
        <is>
          <t>Övriga Aktiebolag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46286</v>
      </c>
      <c r="F117" t="inlineStr">
        <is>
          <t>SKÅNE LÄN</t>
        </is>
      </c>
      <c r="G117" t="inlineStr">
        <is>
          <t>KLIPPAN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46286</v>
      </c>
      <c r="F118" t="inlineStr">
        <is>
          <t>SKÅNE LÄN</t>
        </is>
      </c>
      <c r="G118" t="inlineStr">
        <is>
          <t>KLIPPAN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46286</v>
      </c>
      <c r="F119" t="inlineStr">
        <is>
          <t>SKÅNE LÄN</t>
        </is>
      </c>
      <c r="G119" t="inlineStr">
        <is>
          <t>KLIPPAN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46286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45104</v>
      </c>
      <c r="E121" s="1" t="n">
        <v>46286</v>
      </c>
      <c r="F121" t="inlineStr">
        <is>
          <t>SKÅNE LÄN</t>
        </is>
      </c>
      <c r="G121" t="inlineStr">
        <is>
          <t>KLIPPAN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46286</v>
      </c>
      <c r="F122" t="inlineStr">
        <is>
          <t>SKÅNE LÄN</t>
        </is>
      </c>
      <c r="G122" t="inlineStr">
        <is>
          <t>KLIPPAN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46286</v>
      </c>
      <c r="F123" t="inlineStr">
        <is>
          <t>SKÅNE LÄN</t>
        </is>
      </c>
      <c r="G123" t="inlineStr">
        <is>
          <t>KLIPPAN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46286</v>
      </c>
      <c r="F124" t="inlineStr">
        <is>
          <t>SKÅNE LÄN</t>
        </is>
      </c>
      <c r="G124" t="inlineStr">
        <is>
          <t>KLIPPAN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46286</v>
      </c>
      <c r="F125" t="inlineStr">
        <is>
          <t>SKÅNE LÄN</t>
        </is>
      </c>
      <c r="G125" t="inlineStr">
        <is>
          <t>KLIPPAN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46728-2023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45198</v>
      </c>
      <c r="E126" s="1" t="n">
        <v>46286</v>
      </c>
      <c r="F126" t="inlineStr">
        <is>
          <t>SKÅNE LÄN</t>
        </is>
      </c>
      <c r="G126" t="inlineStr">
        <is>
          <t>KLIPPAN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46286</v>
      </c>
      <c r="F127" t="inlineStr">
        <is>
          <t>SKÅNE LÄN</t>
        </is>
      </c>
      <c r="G127" t="inlineStr">
        <is>
          <t>KLIPPAN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41294-2022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46286</v>
      </c>
      <c r="F128" t="inlineStr">
        <is>
          <t>SKÅNE LÄN</t>
        </is>
      </c>
      <c r="G128" t="inlineStr">
        <is>
          <t>KLIPPAN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46286</v>
      </c>
      <c r="F129" t="inlineStr">
        <is>
          <t>SKÅNE LÄN</t>
        </is>
      </c>
      <c r="G129" t="inlineStr">
        <is>
          <t>KLIPPAN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46286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46286</v>
      </c>
      <c r="F131" t="inlineStr">
        <is>
          <t>SKÅNE LÄN</t>
        </is>
      </c>
      <c r="G131" t="inlineStr">
        <is>
          <t>KLIPPAN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46286</v>
      </c>
      <c r="F132" t="inlineStr">
        <is>
          <t>SKÅNE LÄN</t>
        </is>
      </c>
      <c r="G132" t="inlineStr">
        <is>
          <t>KLIPPAN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46286</v>
      </c>
      <c r="F133" t="inlineStr">
        <is>
          <t>SKÅNE LÄN</t>
        </is>
      </c>
      <c r="G133" t="inlineStr">
        <is>
          <t>KLIPPAN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46286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46286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21608-2026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46286</v>
      </c>
      <c r="F136" t="inlineStr">
        <is>
          <t>SKÅNE LÄN</t>
        </is>
      </c>
      <c r="G136" t="inlineStr">
        <is>
          <t>KLIPPAN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46286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21607-2026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46286</v>
      </c>
      <c r="F138" t="inlineStr">
        <is>
          <t>SKÅNE LÄN</t>
        </is>
      </c>
      <c r="G138" t="inlineStr">
        <is>
          <t>KLIPPAN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44944</v>
      </c>
      <c r="E139" s="1" t="n">
        <v>46286</v>
      </c>
      <c r="F139" t="inlineStr">
        <is>
          <t>SKÅNE LÄN</t>
        </is>
      </c>
      <c r="G139" t="inlineStr">
        <is>
          <t>KLIPPAN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46286</v>
      </c>
      <c r="F140" t="inlineStr">
        <is>
          <t>SKÅNE LÄN</t>
        </is>
      </c>
      <c r="G140" t="inlineStr">
        <is>
          <t>KLIPPAN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46286</v>
      </c>
      <c r="F141" t="inlineStr">
        <is>
          <t>SKÅNE LÄN</t>
        </is>
      </c>
      <c r="G141" t="inlineStr">
        <is>
          <t>KLIPPAN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46286</v>
      </c>
      <c r="F142" t="inlineStr">
        <is>
          <t>SKÅNE LÄN</t>
        </is>
      </c>
      <c r="G142" t="inlineStr">
        <is>
          <t>KLIPPAN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46286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21778-2026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46286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45324</v>
      </c>
      <c r="E145" s="1" t="n">
        <v>46286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46286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46286</v>
      </c>
      <c r="F147" t="inlineStr">
        <is>
          <t>SKÅNE LÄN</t>
        </is>
      </c>
      <c r="G147" t="inlineStr">
        <is>
          <t>KLIPPAN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46286</v>
      </c>
      <c r="F148" t="inlineStr">
        <is>
          <t>SKÅNE LÄN</t>
        </is>
      </c>
      <c r="G148" t="inlineStr">
        <is>
          <t>KLIPPAN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46286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46286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69041-2021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44529</v>
      </c>
      <c r="E151" s="1" t="n">
        <v>46286</v>
      </c>
      <c r="F151" t="inlineStr">
        <is>
          <t>SKÅNE LÄN</t>
        </is>
      </c>
      <c r="G151" t="inlineStr">
        <is>
          <t>KLIPPAN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45981</v>
      </c>
      <c r="E152" s="1" t="n">
        <v>46286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45075</v>
      </c>
      <c r="E153" s="1" t="n">
        <v>46286</v>
      </c>
      <c r="F153" t="inlineStr">
        <is>
          <t>SKÅNE LÄN</t>
        </is>
      </c>
      <c r="G153" t="inlineStr">
        <is>
          <t>KLIPPAN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55586-2021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44475</v>
      </c>
      <c r="E154" s="1" t="n">
        <v>46286</v>
      </c>
      <c r="F154" t="inlineStr">
        <is>
          <t>SKÅNE LÄN</t>
        </is>
      </c>
      <c r="G154" t="inlineStr">
        <is>
          <t>KLIPPAN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46286</v>
      </c>
      <c r="F155" t="inlineStr">
        <is>
          <t>SKÅNE LÄN</t>
        </is>
      </c>
      <c r="G155" t="inlineStr">
        <is>
          <t>KLIPPAN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44988</v>
      </c>
      <c r="E156" s="1" t="n">
        <v>46286</v>
      </c>
      <c r="F156" t="inlineStr">
        <is>
          <t>SKÅNE LÄN</t>
        </is>
      </c>
      <c r="G156" t="inlineStr">
        <is>
          <t>KLIPPAN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46286</v>
      </c>
      <c r="F157" t="inlineStr">
        <is>
          <t>SKÅNE LÄN</t>
        </is>
      </c>
      <c r="G157" t="inlineStr">
        <is>
          <t>KLIPPAN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45013</v>
      </c>
      <c r="E158" s="1" t="n">
        <v>46286</v>
      </c>
      <c r="F158" t="inlineStr">
        <is>
          <t>SKÅNE LÄN</t>
        </is>
      </c>
      <c r="G158" t="inlineStr">
        <is>
          <t>KLIPPAN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46286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46286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46286</v>
      </c>
      <c r="F161" t="inlineStr">
        <is>
          <t>SKÅNE LÄN</t>
        </is>
      </c>
      <c r="G161" t="inlineStr">
        <is>
          <t>KLIPPAN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45739</v>
      </c>
      <c r="E162" s="1" t="n">
        <v>46286</v>
      </c>
      <c r="F162" t="inlineStr">
        <is>
          <t>SKÅNE LÄN</t>
        </is>
      </c>
      <c r="G162" t="inlineStr">
        <is>
          <t>KLIPPAN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46286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46286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44593</v>
      </c>
      <c r="E165" s="1" t="n">
        <v>46286</v>
      </c>
      <c r="F165" t="inlineStr">
        <is>
          <t>SKÅNE LÄN</t>
        </is>
      </c>
      <c r="G165" t="inlineStr">
        <is>
          <t>KLIPPAN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46286</v>
      </c>
      <c r="F166" t="inlineStr">
        <is>
          <t>SKÅNE LÄN</t>
        </is>
      </c>
      <c r="G166" t="inlineStr">
        <is>
          <t>KLIPPAN</t>
        </is>
      </c>
      <c r="I166" t="n">
        <v>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45641-2022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44845</v>
      </c>
      <c r="E167" s="1" t="n">
        <v>46286</v>
      </c>
      <c r="F167" t="inlineStr">
        <is>
          <t>SKÅNE LÄN</t>
        </is>
      </c>
      <c r="G167" t="inlineStr">
        <is>
          <t>KLIPPAN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45442</v>
      </c>
      <c r="E168" s="1" t="n">
        <v>46286</v>
      </c>
      <c r="F168" t="inlineStr">
        <is>
          <t>SKÅNE LÄN</t>
        </is>
      </c>
      <c r="G168" t="inlineStr">
        <is>
          <t>KLIPPAN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46286</v>
      </c>
      <c r="F169" t="inlineStr">
        <is>
          <t>SKÅNE LÄN</t>
        </is>
      </c>
      <c r="G169" t="inlineStr">
        <is>
          <t>KLIPPAN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46286</v>
      </c>
      <c r="F170" t="inlineStr">
        <is>
          <t>SKÅNE LÄN</t>
        </is>
      </c>
      <c r="G170" t="inlineStr">
        <is>
          <t>KLIPPAN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46286</v>
      </c>
      <c r="F171" t="inlineStr">
        <is>
          <t>SKÅNE LÄN</t>
        </is>
      </c>
      <c r="G171" t="inlineStr">
        <is>
          <t>KLIPPAN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46286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45013</v>
      </c>
      <c r="E173" s="1" t="n">
        <v>46286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46286</v>
      </c>
      <c r="F174" t="inlineStr">
        <is>
          <t>SKÅNE LÄN</t>
        </is>
      </c>
      <c r="G174" t="inlineStr">
        <is>
          <t>KLIPPAN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46286</v>
      </c>
      <c r="F175" t="inlineStr">
        <is>
          <t>SKÅNE LÄN</t>
        </is>
      </c>
      <c r="G175" t="inlineStr">
        <is>
          <t>KLIPPAN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44993</v>
      </c>
      <c r="E176" s="1" t="n">
        <v>46286</v>
      </c>
      <c r="F176" t="inlineStr">
        <is>
          <t>SKÅNE LÄN</t>
        </is>
      </c>
      <c r="G176" t="inlineStr">
        <is>
          <t>KLIPPAN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46286</v>
      </c>
      <c r="F177" t="inlineStr">
        <is>
          <t>SKÅNE LÄN</t>
        </is>
      </c>
      <c r="G177" t="inlineStr">
        <is>
          <t>KLIPPAN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45005</v>
      </c>
      <c r="E178" s="1" t="n">
        <v>46286</v>
      </c>
      <c r="F178" t="inlineStr">
        <is>
          <t>SKÅNE LÄN</t>
        </is>
      </c>
      <c r="G178" t="inlineStr">
        <is>
          <t>KLIPPAN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46286</v>
      </c>
      <c r="F179" t="inlineStr">
        <is>
          <t>SKÅNE LÄN</t>
        </is>
      </c>
      <c r="G179" t="inlineStr">
        <is>
          <t>KLIPPAN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46286</v>
      </c>
      <c r="F180" t="inlineStr">
        <is>
          <t>SKÅNE LÄN</t>
        </is>
      </c>
      <c r="G180" t="inlineStr">
        <is>
          <t>KLIPPAN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46286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45077</v>
      </c>
      <c r="E182" s="1" t="n">
        <v>46286</v>
      </c>
      <c r="F182" t="inlineStr">
        <is>
          <t>SKÅNE LÄN</t>
        </is>
      </c>
      <c r="G182" t="inlineStr">
        <is>
          <t>KLIPPAN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46286</v>
      </c>
      <c r="F183" t="inlineStr">
        <is>
          <t>SKÅNE LÄN</t>
        </is>
      </c>
      <c r="G183" t="inlineStr">
        <is>
          <t>KLIPPAN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44855</v>
      </c>
      <c r="E184" s="1" t="n">
        <v>46286</v>
      </c>
      <c r="F184" t="inlineStr">
        <is>
          <t>SKÅNE LÄN</t>
        </is>
      </c>
      <c r="G184" t="inlineStr">
        <is>
          <t>KLIPPAN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46286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46286</v>
      </c>
      <c r="F186" t="inlineStr">
        <is>
          <t>SKÅNE LÄN</t>
        </is>
      </c>
      <c r="G186" t="inlineStr">
        <is>
          <t>KLIPPAN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46286</v>
      </c>
      <c r="F187" t="inlineStr">
        <is>
          <t>SKÅNE LÄN</t>
        </is>
      </c>
      <c r="G187" t="inlineStr">
        <is>
          <t>KLIPPAN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46286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46286</v>
      </c>
      <c r="F189" t="inlineStr">
        <is>
          <t>SKÅNE LÄN</t>
        </is>
      </c>
      <c r="G189" t="inlineStr">
        <is>
          <t>KLIPPAN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45161</v>
      </c>
      <c r="E190" s="1" t="n">
        <v>46286</v>
      </c>
      <c r="F190" t="inlineStr">
        <is>
          <t>SKÅNE LÄN</t>
        </is>
      </c>
      <c r="G190" t="inlineStr">
        <is>
          <t>KLIPPAN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45442</v>
      </c>
      <c r="E191" s="1" t="n">
        <v>46286</v>
      </c>
      <c r="F191" t="inlineStr">
        <is>
          <t>SKÅNE LÄN</t>
        </is>
      </c>
      <c r="G191" t="inlineStr">
        <is>
          <t>KLIPPAN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46101</v>
      </c>
      <c r="E192" s="1" t="n">
        <v>46286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46286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46286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44875</v>
      </c>
      <c r="E195" s="1" t="n">
        <v>46286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46286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46286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64224-2023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45279</v>
      </c>
      <c r="E198" s="1" t="n">
        <v>46286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46286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45588</v>
      </c>
      <c r="E200" s="1" t="n">
        <v>46286</v>
      </c>
      <c r="F200" t="inlineStr">
        <is>
          <t>SKÅNE LÄN</t>
        </is>
      </c>
      <c r="G200" t="inlineStr">
        <is>
          <t>KLIPPAN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45212</v>
      </c>
      <c r="E201" s="1" t="n">
        <v>46286</v>
      </c>
      <c r="F201" t="inlineStr">
        <is>
          <t>SKÅNE LÄN</t>
        </is>
      </c>
      <c r="G201" t="inlineStr">
        <is>
          <t>KLIPPAN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68856-2021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46286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45199</v>
      </c>
      <c r="E203" s="1" t="n">
        <v>46286</v>
      </c>
      <c r="F203" t="inlineStr">
        <is>
          <t>SKÅNE LÄN</t>
        </is>
      </c>
      <c r="G203" t="inlineStr">
        <is>
          <t>KLIPPAN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46286</v>
      </c>
      <c r="F204" t="inlineStr">
        <is>
          <t>SKÅNE LÄN</t>
        </is>
      </c>
      <c r="G204" t="inlineStr">
        <is>
          <t>KLIPPAN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46245</v>
      </c>
      <c r="E205" s="1" t="n">
        <v>46286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46286</v>
      </c>
      <c r="F206" t="inlineStr">
        <is>
          <t>SKÅNE LÄN</t>
        </is>
      </c>
      <c r="G206" t="inlineStr">
        <is>
          <t>KLIPPAN</t>
        </is>
      </c>
      <c r="H206" t="inlineStr">
        <is>
          <t>Sveaskog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46286</v>
      </c>
      <c r="F207" t="inlineStr">
        <is>
          <t>SKÅNE LÄN</t>
        </is>
      </c>
      <c r="G207" t="inlineStr">
        <is>
          <t>KLIPPAN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45072</v>
      </c>
      <c r="E208" s="1" t="n">
        <v>46286</v>
      </c>
      <c r="F208" t="inlineStr">
        <is>
          <t>SKÅNE LÄN</t>
        </is>
      </c>
      <c r="G208" t="inlineStr">
        <is>
          <t>KLIPPAN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46286</v>
      </c>
      <c r="F209" t="inlineStr">
        <is>
          <t>SKÅNE LÄN</t>
        </is>
      </c>
      <c r="G209" t="inlineStr">
        <is>
          <t>KLIPPAN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45404</v>
      </c>
      <c r="E210" s="1" t="n">
        <v>46286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46286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55587-2021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46286</v>
      </c>
      <c r="F212" t="inlineStr">
        <is>
          <t>SKÅNE LÄN</t>
        </is>
      </c>
      <c r="G212" t="inlineStr">
        <is>
          <t>KLIPPAN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46286</v>
      </c>
      <c r="F213" t="inlineStr">
        <is>
          <t>SKÅNE LÄN</t>
        </is>
      </c>
      <c r="G213" t="inlineStr">
        <is>
          <t>KLIPPAN</t>
        </is>
      </c>
      <c r="H213" t="inlineStr">
        <is>
          <t>Övriga Aktiebolag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44722</v>
      </c>
      <c r="E214" s="1" t="n">
        <v>46286</v>
      </c>
      <c r="F214" t="inlineStr">
        <is>
          <t>SKÅNE LÄN</t>
        </is>
      </c>
      <c r="G214" t="inlineStr">
        <is>
          <t>KLIPPAN</t>
        </is>
      </c>
      <c r="I214" t="n">
        <v>7.8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46251</v>
      </c>
      <c r="E215" s="1" t="n">
        <v>46286</v>
      </c>
      <c r="F215" t="inlineStr">
        <is>
          <t>SKÅNE LÄN</t>
        </is>
      </c>
      <c r="G215" t="inlineStr">
        <is>
          <t>KLIPPAN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46286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45714</v>
      </c>
      <c r="E217" s="1" t="n">
        <v>46286</v>
      </c>
      <c r="F217" t="inlineStr">
        <is>
          <t>SKÅNE LÄN</t>
        </is>
      </c>
      <c r="G217" t="inlineStr">
        <is>
          <t>KLIPPAN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46286</v>
      </c>
      <c r="F218" t="inlineStr">
        <is>
          <t>SKÅNE LÄN</t>
        </is>
      </c>
      <c r="G218" t="inlineStr">
        <is>
          <t>KLIPPAN</t>
        </is>
      </c>
      <c r="H218" t="inlineStr">
        <is>
          <t>Övriga Aktiebolag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46286</v>
      </c>
      <c r="F219" t="inlineStr">
        <is>
          <t>SKÅNE LÄN</t>
        </is>
      </c>
      <c r="G219" t="inlineStr">
        <is>
          <t>KLIPPAN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46286</v>
      </c>
      <c r="F220" t="inlineStr">
        <is>
          <t>SKÅNE LÄN</t>
        </is>
      </c>
      <c r="G220" t="inlineStr">
        <is>
          <t>KLIPPAN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46286</v>
      </c>
      <c r="F221" t="inlineStr">
        <is>
          <t>SKÅNE LÄN</t>
        </is>
      </c>
      <c r="G221" t="inlineStr">
        <is>
          <t>KLIPPAN</t>
        </is>
      </c>
      <c r="H221" t="inlineStr">
        <is>
          <t>Övriga Aktiebolag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46286</v>
      </c>
      <c r="F222" t="inlineStr">
        <is>
          <t>SKÅNE LÄN</t>
        </is>
      </c>
      <c r="G222" t="inlineStr">
        <is>
          <t>KLIPPAN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46209</v>
      </c>
      <c r="E223" s="1" t="n">
        <v>46286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46209</v>
      </c>
      <c r="E224" s="1" t="n">
        <v>46286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46286</v>
      </c>
      <c r="F225" t="inlineStr">
        <is>
          <t>SKÅNE LÄN</t>
        </is>
      </c>
      <c r="G225" t="inlineStr">
        <is>
          <t>KLIPPAN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46286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44697</v>
      </c>
      <c r="E227" s="1" t="n">
        <v>46286</v>
      </c>
      <c r="F227" t="inlineStr">
        <is>
          <t>SKÅNE LÄN</t>
        </is>
      </c>
      <c r="G227" t="inlineStr">
        <is>
          <t>KLIPPAN</t>
        </is>
      </c>
      <c r="I227" t="n">
        <v>17.2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45751</v>
      </c>
      <c r="E228" s="1" t="n">
        <v>46286</v>
      </c>
      <c r="F228" t="inlineStr">
        <is>
          <t>SKÅNE LÄN</t>
        </is>
      </c>
      <c r="G228" t="inlineStr">
        <is>
          <t>KLIPPAN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46216</v>
      </c>
      <c r="E229" s="1" t="n">
        <v>46286</v>
      </c>
      <c r="F229" t="inlineStr">
        <is>
          <t>SKÅNE LÄN</t>
        </is>
      </c>
      <c r="G229" t="inlineStr">
        <is>
          <t>KLIPPAN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46286</v>
      </c>
      <c r="F230" t="inlineStr">
        <is>
          <t>SKÅNE LÄN</t>
        </is>
      </c>
      <c r="G230" t="inlineStr">
        <is>
          <t>KLIPPAN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63720-2023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45275</v>
      </c>
      <c r="E231" s="1" t="n">
        <v>46286</v>
      </c>
      <c r="F231" t="inlineStr">
        <is>
          <t>SKÅNE LÄN</t>
        </is>
      </c>
      <c r="G231" t="inlineStr">
        <is>
          <t>KLIPPAN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46286</v>
      </c>
      <c r="F232" t="inlineStr">
        <is>
          <t>SKÅNE LÄN</t>
        </is>
      </c>
      <c r="G232" t="inlineStr">
        <is>
          <t>KLIPPAN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46216</v>
      </c>
      <c r="E233" s="1" t="n">
        <v>46286</v>
      </c>
      <c r="F233" t="inlineStr">
        <is>
          <t>SKÅNE LÄN</t>
        </is>
      </c>
      <c r="G233" t="inlineStr">
        <is>
          <t>KLIPPAN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46216</v>
      </c>
      <c r="E234" s="1" t="n">
        <v>46286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44855</v>
      </c>
      <c r="E235" s="1" t="n">
        <v>46286</v>
      </c>
      <c r="F235" t="inlineStr">
        <is>
          <t>SKÅNE LÄN</t>
        </is>
      </c>
      <c r="G235" t="inlineStr">
        <is>
          <t>KLIPPAN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46286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45341</v>
      </c>
      <c r="E237" s="1" t="n">
        <v>46286</v>
      </c>
      <c r="F237" t="inlineStr">
        <is>
          <t>SKÅNE LÄN</t>
        </is>
      </c>
      <c r="G237" t="inlineStr">
        <is>
          <t>KLIPPAN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45084</v>
      </c>
      <c r="E238" s="1" t="n">
        <v>46286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11.6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46286</v>
      </c>
      <c r="F239" t="inlineStr">
        <is>
          <t>SKÅNE LÄN</t>
        </is>
      </c>
      <c r="G239" t="inlineStr">
        <is>
          <t>KLIPPAN</t>
        </is>
      </c>
      <c r="H239" t="inlineStr">
        <is>
          <t>Övriga Aktiebolag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46265</v>
      </c>
      <c r="E240" s="1" t="n">
        <v>46286</v>
      </c>
      <c r="F240" t="inlineStr">
        <is>
          <t>SKÅNE LÄN</t>
        </is>
      </c>
      <c r="G240" t="inlineStr">
        <is>
          <t>KLIPPAN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46286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46286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45320</v>
      </c>
      <c r="E243" s="1" t="n">
        <v>46286</v>
      </c>
      <c r="F243" t="inlineStr">
        <is>
          <t>SKÅNE LÄN</t>
        </is>
      </c>
      <c r="G243" t="inlineStr">
        <is>
          <t>KLIPPAN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46269</v>
      </c>
      <c r="E244" s="1" t="n">
        <v>46286</v>
      </c>
      <c r="F244" t="inlineStr">
        <is>
          <t>SKÅNE LÄN</t>
        </is>
      </c>
      <c r="G244" t="inlineStr">
        <is>
          <t>KLIPPAN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46269</v>
      </c>
      <c r="E245" s="1" t="n">
        <v>46286</v>
      </c>
      <c r="F245" t="inlineStr">
        <is>
          <t>SKÅNE LÄN</t>
        </is>
      </c>
      <c r="G245" t="inlineStr">
        <is>
          <t>KLIPPAN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46210</v>
      </c>
      <c r="E246" s="1" t="n">
        <v>46286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46286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45349</v>
      </c>
      <c r="E248" s="1" t="n">
        <v>46286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46279</v>
      </c>
      <c r="E249" s="1" t="n">
        <v>46286</v>
      </c>
      <c r="F249" t="inlineStr">
        <is>
          <t>SKÅNE LÄN</t>
        </is>
      </c>
      <c r="G249" t="inlineStr">
        <is>
          <t>KLIPPAN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46286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46286</v>
      </c>
      <c r="F251" t="inlineStr">
        <is>
          <t>SKÅNE LÄN</t>
        </is>
      </c>
      <c r="G251" t="inlineStr">
        <is>
          <t>KLIPPAN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46286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46286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46281</v>
      </c>
      <c r="E254" s="1" t="n">
        <v>46286</v>
      </c>
      <c r="F254" t="inlineStr">
        <is>
          <t>SKÅNE LÄN</t>
        </is>
      </c>
      <c r="G254" t="inlineStr">
        <is>
          <t>KLIPPAN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30514-2026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46210</v>
      </c>
      <c r="E255" s="1" t="n">
        <v>46286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46286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45573</v>
      </c>
      <c r="E257" s="1" t="n">
        <v>46286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46286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46286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46286</v>
      </c>
      <c r="F260" t="inlineStr">
        <is>
          <t>SKÅNE LÄN</t>
        </is>
      </c>
      <c r="G260" t="inlineStr">
        <is>
          <t>KLIPPAN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46286</v>
      </c>
      <c r="F261" t="inlineStr">
        <is>
          <t>SKÅNE LÄN</t>
        </is>
      </c>
      <c r="G261" t="inlineStr">
        <is>
          <t>KLIPPAN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46286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46286</v>
      </c>
      <c r="F263" t="inlineStr">
        <is>
          <t>SKÅNE LÄN</t>
        </is>
      </c>
      <c r="G263" t="inlineStr">
        <is>
          <t>KLIPPAN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45824</v>
      </c>
      <c r="E264" s="1" t="n">
        <v>46286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46286</v>
      </c>
      <c r="F265" t="inlineStr">
        <is>
          <t>SKÅNE LÄN</t>
        </is>
      </c>
      <c r="G265" t="inlineStr">
        <is>
          <t>KLIPPAN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46286</v>
      </c>
      <c r="F266" t="inlineStr">
        <is>
          <t>SKÅNE LÄN</t>
        </is>
      </c>
      <c r="G266" t="inlineStr">
        <is>
          <t>KLIPPAN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45799</v>
      </c>
      <c r="E267" s="1" t="n">
        <v>46286</v>
      </c>
      <c r="F267" t="inlineStr">
        <is>
          <t>SKÅNE LÄN</t>
        </is>
      </c>
      <c r="G267" t="inlineStr">
        <is>
          <t>KLIPPAN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46286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46286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46286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46286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46286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46286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46286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46286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704-2022</t>
        </is>
      </c>
      <c r="B276" t="inlineStr">
        <is>
          <t>samrådsanmälan</t>
        </is>
      </c>
      <c r="C276" t="inlineStr">
        <is>
          <t>Skogsbilväg</t>
        </is>
      </c>
      <c r="D276" s="1" t="n">
        <v>44599</v>
      </c>
      <c r="E276" s="1" t="n">
        <v>46286</v>
      </c>
      <c r="F276" t="inlineStr">
        <is>
          <t>SKÅNE LÄN</t>
        </is>
      </c>
      <c r="G276" t="inlineStr">
        <is>
          <t>KLIPPAN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2678-2022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46286</v>
      </c>
      <c r="F277" t="inlineStr">
        <is>
          <t>SKÅNE LÄN</t>
        </is>
      </c>
      <c r="G277" t="inlineStr">
        <is>
          <t>KLIPPAN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46286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46286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46286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46286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2690-2022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44701</v>
      </c>
      <c r="E282" s="1" t="n">
        <v>46286</v>
      </c>
      <c r="F282" t="inlineStr">
        <is>
          <t>SKÅNE LÄN</t>
        </is>
      </c>
      <c r="G282" t="inlineStr">
        <is>
          <t>KLIPPAN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46286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46286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46286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46286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46286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46286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46286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46286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46286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2022-2026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46286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14.3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2019-2026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46286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20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>
      <c r="A294" t="inlineStr">
        <is>
          <t>S 2020-2026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46286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30.3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2026-09-21T02:04:56Z</dcterms:created>
  <dcterms:modified xmlns:dcterms="http://purl.org/dc/terms/" xmlns:xsi="http://www.w3.org/2001/XMLSchema-instance" xsi:type="dcterms:W3CDTF">2026-09-21T02:04:56Z</dcterms:modified>
</cp:coreProperties>
</file>