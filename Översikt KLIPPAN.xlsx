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46310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46310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46310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46310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46310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46310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46310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46310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46310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46310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46310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46310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46310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46310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46310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39820-2026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46289</v>
      </c>
      <c r="E19" s="1" t="n">
        <v>46310</v>
      </c>
      <c r="F19" t="inlineStr">
        <is>
          <t>SKÅNE LÄN</t>
        </is>
      </c>
      <c r="G19" t="inlineStr">
        <is>
          <t>KLIPPAN</t>
        </is>
      </c>
      <c r="I19" t="n">
        <v>13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Entita
Skogsödla
Vanlig groda</t>
        </is>
      </c>
      <c r="W19">
        <f>HYPERLINK("https://klasma.github.io/Logging_1276/artfynd/A 39820-2026 artfynd.xlsx", "A 39820-2026")</f>
        <v/>
      </c>
      <c r="X19">
        <f>HYPERLINK("https://klasma.github.io/Logging_1276/kartor/A 39820-2026 karta.png", "A 39820-2026")</f>
        <v/>
      </c>
      <c r="Y19">
        <f>HYPERLINK("https://klasma.github.io/Logging_1276/kartor_geotiff/A 39820-2026 georefererad karta.tif", "A 39820-2026")</f>
        <v/>
      </c>
      <c r="AA19">
        <f>HYPERLINK("https://klasma.github.io/Logging_1276/klagomål/A 39820-2026 FSC-klagomål.docx", "A 39820-2026")</f>
        <v/>
      </c>
      <c r="AB19">
        <f>HYPERLINK("https://klasma.github.io/Logging_1276/klagomålsmail/A 39820-2026 FSC-klagomål mail.docx", "A 39820-2026")</f>
        <v/>
      </c>
      <c r="AC19">
        <f>HYPERLINK("https://klasma.github.io/Logging_1276/tillsyn/A 39820-2026 tillsynsbegäran.docx", "A 39820-2026")</f>
        <v/>
      </c>
      <c r="AD19">
        <f>HYPERLINK("https://klasma.github.io/Logging_1276/tillsynsmail/A 39820-2026 tillsynsbegäran mail.docx", "A 39820-2026")</f>
        <v/>
      </c>
      <c r="AE19">
        <f>HYPERLINK("https://klasma.github.io/Logging_1276/fåglar/A 39820-2026 prioriterade fågelarter.docx", "A 39820-2026")</f>
        <v/>
      </c>
    </row>
    <row r="20" ht="15" customHeight="1">
      <c r="A20" t="inlineStr">
        <is>
          <t>A 54644-2023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45235</v>
      </c>
      <c r="E20" s="1" t="n">
        <v>46310</v>
      </c>
      <c r="F20" t="inlineStr">
        <is>
          <t>SKÅNE LÄN</t>
        </is>
      </c>
      <c r="G20" t="inlineStr">
        <is>
          <t>KLIPPAN</t>
        </is>
      </c>
      <c r="I20" t="n">
        <v>8.1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Havstulpanlav
Spillkråka
Skogsduva</t>
        </is>
      </c>
      <c r="W20">
        <f>HYPERLINK("https://klasma.github.io/Logging_1276/artfynd/A 54644-2023 artfynd.xlsx", "A 54644-2023")</f>
        <v/>
      </c>
      <c r="X20">
        <f>HYPERLINK("https://klasma.github.io/Logging_1276/kartor/A 54644-2023 karta.png", "A 54644-2023")</f>
        <v/>
      </c>
      <c r="Y20">
        <f>HYPERLINK("https://klasma.github.io/Logging_1276/kartor_geotiff/A 54644-2023 georefererad karta.tif", "A 54644-2023")</f>
        <v/>
      </c>
      <c r="AA20">
        <f>HYPERLINK("https://klasma.github.io/Logging_1276/klagomål/A 54644-2023 FSC-klagomål.docx", "A 54644-2023")</f>
        <v/>
      </c>
      <c r="AB20">
        <f>HYPERLINK("https://klasma.github.io/Logging_1276/klagomålsmail/A 54644-2023 FSC-klagomål mail.docx", "A 54644-2023")</f>
        <v/>
      </c>
      <c r="AC20">
        <f>HYPERLINK("https://klasma.github.io/Logging_1276/tillsyn/A 54644-2023 tillsynsbegäran.docx", "A 54644-2023")</f>
        <v/>
      </c>
      <c r="AD20">
        <f>HYPERLINK("https://klasma.github.io/Logging_1276/tillsynsmail/A 54644-2023 tillsynsbegäran mail.docx", "A 54644-2023")</f>
        <v/>
      </c>
      <c r="AE20">
        <f>HYPERLINK("https://klasma.github.io/Logging_1276/fåglar/A 54644-2023 prioriterade fågelarter.docx", "A 54644-2023")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46310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46310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46310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46310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46310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46310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44567-2025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46310</v>
      </c>
      <c r="F27" t="inlineStr">
        <is>
          <t>SKÅNE LÄN</t>
        </is>
      </c>
      <c r="G27" t="inlineStr">
        <is>
          <t>KLIPPAN</t>
        </is>
      </c>
      <c r="I27" t="n">
        <v>17.3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Grönsiska
Kråka</t>
        </is>
      </c>
      <c r="W27">
        <f>HYPERLINK("https://klasma.github.io/Logging_1276/artfynd/A 44567-2025 artfynd.xlsx", "A 44567-2025")</f>
        <v/>
      </c>
      <c r="X27">
        <f>HYPERLINK("https://klasma.github.io/Logging_1276/kartor/A 44567-2025 karta.png", "A 44567-2025")</f>
        <v/>
      </c>
      <c r="Y27">
        <f>HYPERLINK("https://klasma.github.io/Logging_1276/kartor_geotiff/A 44567-2025 georefererad karta.tif", "A 44567-2025")</f>
        <v/>
      </c>
      <c r="AA27">
        <f>HYPERLINK("https://klasma.github.io/Logging_1276/klagomål/A 44567-2025 FSC-klagomål.docx", "A 44567-2025")</f>
        <v/>
      </c>
      <c r="AB27">
        <f>HYPERLINK("https://klasma.github.io/Logging_1276/klagomålsmail/A 44567-2025 FSC-klagomål mail.docx", "A 44567-2025")</f>
        <v/>
      </c>
      <c r="AC27">
        <f>HYPERLINK("https://klasma.github.io/Logging_1276/tillsyn/A 44567-2025 tillsynsbegäran.docx", "A 44567-2025")</f>
        <v/>
      </c>
      <c r="AD27">
        <f>HYPERLINK("https://klasma.github.io/Logging_1276/tillsynsmail/A 44567-2025 tillsynsbegäran mail.docx", "A 44567-2025")</f>
        <v/>
      </c>
    </row>
    <row r="28" ht="15" customHeight="1">
      <c r="A28" t="inlineStr">
        <is>
          <t>A 11673-2022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44633</v>
      </c>
      <c r="E28" s="1" t="n">
        <v>46310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Talltita
Vanlig groda</t>
        </is>
      </c>
      <c r="W28">
        <f>HYPERLINK("https://klasma.github.io/Logging_1276/artfynd/A 11673-2022 artfynd.xlsx", "A 11673-2022")</f>
        <v/>
      </c>
      <c r="X28">
        <f>HYPERLINK("https://klasma.github.io/Logging_1276/kartor/A 11673-2022 karta.png", "A 11673-2022")</f>
        <v/>
      </c>
      <c r="Y28">
        <f>HYPERLINK("https://klasma.github.io/Logging_1276/kartor_geotiff/A 11673-2022 georefererad karta.tif", "A 11673-2022")</f>
        <v/>
      </c>
      <c r="AA28">
        <f>HYPERLINK("https://klasma.github.io/Logging_1276/klagomål/A 11673-2022 FSC-klagomål.docx", "A 11673-2022")</f>
        <v/>
      </c>
      <c r="AB28">
        <f>HYPERLINK("https://klasma.github.io/Logging_1276/klagomålsmail/A 11673-2022 FSC-klagomål mail.docx", "A 11673-2022")</f>
        <v/>
      </c>
      <c r="AC28">
        <f>HYPERLINK("https://klasma.github.io/Logging_1276/tillsyn/A 11673-2022 tillsynsbegäran.docx", "A 11673-2022")</f>
        <v/>
      </c>
      <c r="AD28">
        <f>HYPERLINK("https://klasma.github.io/Logging_1276/tillsynsmail/A 11673-2022 tillsynsbegäran mail.docx", "A 11673-2022")</f>
        <v/>
      </c>
      <c r="AE28">
        <f>HYPERLINK("https://klasma.github.io/Logging_1276/fåglar/A 11673-2022 prioriterade fågelarter.docx", "A 11673-2022")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46310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20702-2023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45058</v>
      </c>
      <c r="E30" s="1" t="n">
        <v>46310</v>
      </c>
      <c r="F30" t="inlineStr">
        <is>
          <t>SKÅNE LÄN</t>
        </is>
      </c>
      <c r="G30" t="inlineStr">
        <is>
          <t>KLIPPAN</t>
        </is>
      </c>
      <c r="I30" t="n">
        <v>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Svinrot
Grönvit nattviol</t>
        </is>
      </c>
      <c r="W30">
        <f>HYPERLINK("https://klasma.github.io/Logging_1276/artfynd/A 20702-2023 artfynd.xlsx", "A 20702-2023")</f>
        <v/>
      </c>
      <c r="X30">
        <f>HYPERLINK("https://klasma.github.io/Logging_1276/kartor/A 20702-2023 karta.png", "A 20702-2023")</f>
        <v/>
      </c>
      <c r="Y30">
        <f>HYPERLINK("https://klasma.github.io/Logging_1276/kartor_geotiff/A 20702-2023 georefererad karta.tif", "A 20702-2023")</f>
        <v/>
      </c>
      <c r="AA30">
        <f>HYPERLINK("https://klasma.github.io/Logging_1276/klagomål/A 20702-2023 FSC-klagomål.docx", "A 20702-2023")</f>
        <v/>
      </c>
      <c r="AB30">
        <f>HYPERLINK("https://klasma.github.io/Logging_1276/klagomålsmail/A 20702-2023 FSC-klagomål mail.docx", "A 20702-2023")</f>
        <v/>
      </c>
      <c r="AC30">
        <f>HYPERLINK("https://klasma.github.io/Logging_1276/tillsyn/A 20702-2023 tillsynsbegäran.docx", "A 20702-2023")</f>
        <v/>
      </c>
      <c r="AD30">
        <f>HYPERLINK("https://klasma.github.io/Logging_1276/tillsynsmail/A 20702-2023 tillsynsbegäran mail.docx", "A 20702-2023")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46310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46310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46310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46310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46310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46310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14892-2023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45015</v>
      </c>
      <c r="E37" s="1" t="n">
        <v>46310</v>
      </c>
      <c r="F37" t="inlineStr">
        <is>
          <t>SKÅNE LÄN</t>
        </is>
      </c>
      <c r="G37" t="inlineStr">
        <is>
          <t>KLIPPAN</t>
        </is>
      </c>
      <c r="I37" t="n">
        <v>2.7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14892-2023 artfynd.xlsx", "A 14892-2023")</f>
        <v/>
      </c>
      <c r="X37">
        <f>HYPERLINK("https://klasma.github.io/Logging_1276/kartor/A 14892-2023 karta.png", "A 14892-2023")</f>
        <v/>
      </c>
      <c r="Y37">
        <f>HYPERLINK("https://klasma.github.io/Logging_1276/kartor_geotiff/A 14892-2023 georefererad karta.tif", "A 14892-2023")</f>
        <v/>
      </c>
      <c r="AA37">
        <f>HYPERLINK("https://klasma.github.io/Logging_1276/klagomål/A 14892-2023 FSC-klagomål.docx", "A 14892-2023")</f>
        <v/>
      </c>
      <c r="AB37">
        <f>HYPERLINK("https://klasma.github.io/Logging_1276/klagomålsmail/A 14892-2023 FSC-klagomål mail.docx", "A 14892-2023")</f>
        <v/>
      </c>
      <c r="AC37">
        <f>HYPERLINK("https://klasma.github.io/Logging_1276/tillsyn/A 14892-2023 tillsynsbegäran.docx", "A 14892-2023")</f>
        <v/>
      </c>
      <c r="AD37">
        <f>HYPERLINK("https://klasma.github.io/Logging_1276/tillsynsmail/A 14892-2023 tillsynsbegäran mail.docx", "A 14892-2023")</f>
        <v/>
      </c>
      <c r="AE37">
        <f>HYPERLINK("https://klasma.github.io/Logging_1276/fåglar/A 14892-2023 prioriterade fågelarter.docx", "A 14892-2023")</f>
        <v/>
      </c>
    </row>
    <row r="38" ht="15" customHeight="1">
      <c r="A38" t="inlineStr">
        <is>
          <t>A 61058-2025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46310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Kungsfågel</t>
        </is>
      </c>
      <c r="W38">
        <f>HYPERLINK("https://klasma.github.io/Logging_1276/artfynd/A 61058-2025 artfynd.xlsx", "A 61058-2025")</f>
        <v/>
      </c>
      <c r="X38">
        <f>HYPERLINK("https://klasma.github.io/Logging_1276/kartor/A 61058-2025 karta.png", "A 61058-2025")</f>
        <v/>
      </c>
      <c r="Y38">
        <f>HYPERLINK("https://klasma.github.io/Logging_1276/kartor_geotiff/A 61058-2025 georefererad karta.tif", "A 61058-2025")</f>
        <v/>
      </c>
      <c r="AA38">
        <f>HYPERLINK("https://klasma.github.io/Logging_1276/klagomål/A 61058-2025 FSC-klagomål.docx", "A 61058-2025")</f>
        <v/>
      </c>
      <c r="AB38">
        <f>HYPERLINK("https://klasma.github.io/Logging_1276/klagomålsmail/A 61058-2025 FSC-klagomål mail.docx", "A 61058-2025")</f>
        <v/>
      </c>
      <c r="AC38">
        <f>HYPERLINK("https://klasma.github.io/Logging_1276/tillsyn/A 61058-2025 tillsynsbegäran.docx", "A 61058-2025")</f>
        <v/>
      </c>
      <c r="AD38">
        <f>HYPERLINK("https://klasma.github.io/Logging_1276/tillsynsmail/A 61058-2025 tillsynsbegäran mail.docx", "A 61058-2025")</f>
        <v/>
      </c>
    </row>
    <row r="39" ht="15" customHeight="1">
      <c r="A39" t="inlineStr">
        <is>
          <t>A 61049-2025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46310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61049-2025 artfynd.xlsx", "A 61049-2025")</f>
        <v/>
      </c>
      <c r="X39">
        <f>HYPERLINK("https://klasma.github.io/Logging_1276/kartor/A 61049-2025 karta.png", "A 61049-2025")</f>
        <v/>
      </c>
      <c r="Y39">
        <f>HYPERLINK("https://klasma.github.io/Logging_1276/kartor_geotiff/A 61049-2025 georefererad karta.tif", "A 61049-2025")</f>
        <v/>
      </c>
      <c r="AA39">
        <f>HYPERLINK("https://klasma.github.io/Logging_1276/klagomål/A 61049-2025 FSC-klagomål.docx", "A 61049-2025")</f>
        <v/>
      </c>
      <c r="AB39">
        <f>HYPERLINK("https://klasma.github.io/Logging_1276/klagomålsmail/A 61049-2025 FSC-klagomål mail.docx", "A 61049-2025")</f>
        <v/>
      </c>
      <c r="AC39">
        <f>HYPERLINK("https://klasma.github.io/Logging_1276/tillsyn/A 61049-2025 tillsynsbegäran.docx", "A 61049-2025")</f>
        <v/>
      </c>
      <c r="AD39">
        <f>HYPERLINK("https://klasma.github.io/Logging_1276/tillsynsmail/A 61049-2025 tillsynsbegäran mail.docx", "A 61049-2025")</f>
        <v/>
      </c>
      <c r="AE39">
        <f>HYPERLINK("https://klasma.github.io/Logging_1276/fåglar/A 61049-2025 prioriterade fågelarter.docx", "A 61049-2025")</f>
        <v/>
      </c>
    </row>
    <row r="40" ht="15" customHeight="1">
      <c r="A40" t="inlineStr">
        <is>
          <t>A 6446-2026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46310</v>
      </c>
      <c r="F40" t="inlineStr">
        <is>
          <t>SKÅNE LÄN</t>
        </is>
      </c>
      <c r="G40" t="inlineStr">
        <is>
          <t>KLIPPAN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HYPERLINK("https://klasma.github.io/Logging_1276/artfynd/A 6446-2026 artfynd.xlsx", "A 6446-2026")</f>
        <v/>
      </c>
      <c r="X40">
        <f>HYPERLINK("https://klasma.github.io/Logging_1276/kartor/A 6446-2026 karta.png", "A 6446-2026")</f>
        <v/>
      </c>
      <c r="Y40">
        <f>HYPERLINK("https://klasma.github.io/Logging_1276/kartor_geotiff/A 6446-2026 georefererad karta.tif", "A 6446-2026")</f>
        <v/>
      </c>
      <c r="AA40">
        <f>HYPERLINK("https://klasma.github.io/Logging_1276/klagomål/A 6446-2026 FSC-klagomål.docx", "A 6446-2026")</f>
        <v/>
      </c>
      <c r="AB40">
        <f>HYPERLINK("https://klasma.github.io/Logging_1276/klagomålsmail/A 6446-2026 FSC-klagomål mail.docx", "A 6446-2026")</f>
        <v/>
      </c>
      <c r="AC40">
        <f>HYPERLINK("https://klasma.github.io/Logging_1276/tillsyn/A 6446-2026 tillsynsbegäran.docx", "A 6446-2026")</f>
        <v/>
      </c>
      <c r="AD40">
        <f>HYPERLINK("https://klasma.github.io/Logging_1276/tillsynsmail/A 6446-2026 tillsynsbegäran mail.docx", "A 6446-2026")</f>
        <v/>
      </c>
    </row>
    <row r="41" ht="15" customHeight="1">
      <c r="A41" t="inlineStr">
        <is>
          <t>A 21788-2026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46310</v>
      </c>
      <c r="F41" t="inlineStr">
        <is>
          <t>SKÅNE LÄN</t>
        </is>
      </c>
      <c r="G41" t="inlineStr">
        <is>
          <t>KLIPPAN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Bäckbräsma</t>
        </is>
      </c>
      <c r="W41">
        <f>HYPERLINK("https://klasma.github.io/Logging_1276/artfynd/A 21788-2026 artfynd.xlsx", "A 21788-2026")</f>
        <v/>
      </c>
      <c r="X41">
        <f>HYPERLINK("https://klasma.github.io/Logging_1276/kartor/A 21788-2026 karta.png", "A 21788-2026")</f>
        <v/>
      </c>
      <c r="Y41">
        <f>HYPERLINK("https://klasma.github.io/Logging_1276/kartor_geotiff/A 21788-2026 georefererad karta.tif", "A 21788-2026")</f>
        <v/>
      </c>
      <c r="AA41">
        <f>HYPERLINK("https://klasma.github.io/Logging_1276/klagomål/A 21788-2026 FSC-klagomål.docx", "A 21788-2026")</f>
        <v/>
      </c>
      <c r="AB41">
        <f>HYPERLINK("https://klasma.github.io/Logging_1276/klagomålsmail/A 21788-2026 FSC-klagomål mail.docx", "A 21788-2026")</f>
        <v/>
      </c>
      <c r="AC41">
        <f>HYPERLINK("https://klasma.github.io/Logging_1276/tillsyn/A 21788-2026 tillsynsbegäran.docx", "A 21788-2026")</f>
        <v/>
      </c>
      <c r="AD41">
        <f>HYPERLINK("https://klasma.github.io/Logging_1276/tillsynsmail/A 21788-2026 tillsynsbegäran mail.docx", "A 21788-2026")</f>
        <v/>
      </c>
    </row>
    <row r="42" ht="15" customHeight="1">
      <c r="A42" t="inlineStr">
        <is>
          <t>A 15810-2024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45404</v>
      </c>
      <c r="E42" s="1" t="n">
        <v>46310</v>
      </c>
      <c r="F42" t="inlineStr">
        <is>
          <t>SKÅNE LÄN</t>
        </is>
      </c>
      <c r="G42" t="inlineStr">
        <is>
          <t>KLIPPAN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HYPERLINK("https://klasma.github.io/Logging_1276/artfynd/A 15810-2024 artfynd.xlsx", "A 15810-2024")</f>
        <v/>
      </c>
      <c r="X42">
        <f>HYPERLINK("https://klasma.github.io/Logging_1276/kartor/A 15810-2024 karta.png", "A 15810-2024")</f>
        <v/>
      </c>
      <c r="Y42">
        <f>HYPERLINK("https://klasma.github.io/Logging_1276/kartor_geotiff/A 15810-2024 georefererad karta.tif", "A 15810-2024")</f>
        <v/>
      </c>
      <c r="AA42">
        <f>HYPERLINK("https://klasma.github.io/Logging_1276/klagomål/A 15810-2024 FSC-klagomål.docx", "A 15810-2024")</f>
        <v/>
      </c>
      <c r="AB42">
        <f>HYPERLINK("https://klasma.github.io/Logging_1276/klagomålsmail/A 15810-2024 FSC-klagomål mail.docx", "A 15810-2024")</f>
        <v/>
      </c>
      <c r="AC42">
        <f>HYPERLINK("https://klasma.github.io/Logging_1276/tillsyn/A 15810-2024 tillsynsbegäran.docx", "A 15810-2024")</f>
        <v/>
      </c>
      <c r="AD42">
        <f>HYPERLINK("https://klasma.github.io/Logging_1276/tillsynsmail/A 15810-2024 tillsynsbegäran mail.docx", "A 15810-2024")</f>
        <v/>
      </c>
    </row>
    <row r="43" ht="15" customHeight="1">
      <c r="A43" t="inlineStr">
        <is>
          <t>A 44885-2022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44841</v>
      </c>
      <c r="E43" s="1" t="n">
        <v>46310</v>
      </c>
      <c r="F43" t="inlineStr">
        <is>
          <t>SKÅNE LÄN</t>
        </is>
      </c>
      <c r="G43" t="inlineStr">
        <is>
          <t>KLIPPAN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HYPERLINK("https://klasma.github.io/Logging_1276/artfynd/A 44885-2022 artfynd.xlsx", "A 44885-2022")</f>
        <v/>
      </c>
      <c r="X43">
        <f>HYPERLINK("https://klasma.github.io/Logging_1276/kartor/A 44885-2022 karta.png", "A 44885-2022")</f>
        <v/>
      </c>
      <c r="Y43">
        <f>HYPERLINK("https://klasma.github.io/Logging_1276/kartor_geotiff/A 44885-2022 georefererad karta.tif", "A 44885-2022")</f>
        <v/>
      </c>
      <c r="AA43">
        <f>HYPERLINK("https://klasma.github.io/Logging_1276/klagomål/A 44885-2022 FSC-klagomål.docx", "A 44885-2022")</f>
        <v/>
      </c>
      <c r="AB43">
        <f>HYPERLINK("https://klasma.github.io/Logging_1276/klagomålsmail/A 44885-2022 FSC-klagomål mail.docx", "A 44885-2022")</f>
        <v/>
      </c>
      <c r="AC43">
        <f>HYPERLINK("https://klasma.github.io/Logging_1276/tillsyn/A 44885-2022 tillsynsbegäran.docx", "A 44885-2022")</f>
        <v/>
      </c>
      <c r="AD43">
        <f>HYPERLINK("https://klasma.github.io/Logging_1276/tillsynsmail/A 44885-2022 tillsynsbegäran mail.docx", "A 44885-2022")</f>
        <v/>
      </c>
    </row>
    <row r="44" ht="15" customHeight="1">
      <c r="A44" t="inlineStr">
        <is>
          <t>A 46147-2022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46310</v>
      </c>
      <c r="F44" t="inlineStr">
        <is>
          <t>SKÅNE LÄN</t>
        </is>
      </c>
      <c r="G44" t="inlineStr">
        <is>
          <t>KLIPPAN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Västlig hakmossa</t>
        </is>
      </c>
      <c r="W44">
        <f>HYPERLINK("https://klasma.github.io/Logging_1276/artfynd/A 46147-2022 artfynd.xlsx", "A 46147-2022")</f>
        <v/>
      </c>
      <c r="X44">
        <f>HYPERLINK("https://klasma.github.io/Logging_1276/kartor/A 46147-2022 karta.png", "A 46147-2022")</f>
        <v/>
      </c>
      <c r="Y44">
        <f>HYPERLINK("https://klasma.github.io/Logging_1276/kartor_geotiff/A 46147-2022 georefererad karta.tif", "A 46147-2022")</f>
        <v/>
      </c>
      <c r="AA44">
        <f>HYPERLINK("https://klasma.github.io/Logging_1276/klagomål/A 46147-2022 FSC-klagomål.docx", "A 46147-2022")</f>
        <v/>
      </c>
      <c r="AB44">
        <f>HYPERLINK("https://klasma.github.io/Logging_1276/klagomålsmail/A 46147-2022 FSC-klagomål mail.docx", "A 46147-2022")</f>
        <v/>
      </c>
      <c r="AC44">
        <f>HYPERLINK("https://klasma.github.io/Logging_1276/tillsyn/A 46147-2022 tillsynsbegäran.docx", "A 46147-2022")</f>
        <v/>
      </c>
      <c r="AD44">
        <f>HYPERLINK("https://klasma.github.io/Logging_1276/tillsynsmail/A 46147-2022 tillsynsbegäran mail.docx", "A 46147-2022")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46310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46310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A 10000-2025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46310</v>
      </c>
      <c r="F47" t="inlineStr">
        <is>
          <t>SKÅNE LÄN</t>
        </is>
      </c>
      <c r="G47" t="inlineStr">
        <is>
          <t>KLIPPAN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10000-2025 artfynd.xlsx", "A 10000-2025")</f>
        <v/>
      </c>
      <c r="X47">
        <f>HYPERLINK("https://klasma.github.io/Logging_1276/kartor/A 10000-2025 karta.png", "A 10000-2025")</f>
        <v/>
      </c>
      <c r="Y47">
        <f>HYPERLINK("https://klasma.github.io/Logging_1276/kartor_geotiff/A 10000-2025 georefererad karta.tif", "A 10000-2025")</f>
        <v/>
      </c>
      <c r="AA47">
        <f>HYPERLINK("https://klasma.github.io/Logging_1276/klagomål/A 10000-2025 FSC-klagomål.docx", "A 10000-2025")</f>
        <v/>
      </c>
      <c r="AB47">
        <f>HYPERLINK("https://klasma.github.io/Logging_1276/klagomålsmail/A 10000-2025 FSC-klagomål mail.docx", "A 10000-2025")</f>
        <v/>
      </c>
      <c r="AC47">
        <f>HYPERLINK("https://klasma.github.io/Logging_1276/tillsyn/A 10000-2025 tillsynsbegäran.docx", "A 10000-2025")</f>
        <v/>
      </c>
      <c r="AD47">
        <f>HYPERLINK("https://klasma.github.io/Logging_1276/tillsynsmail/A 10000-2025 tillsynsbegäran mail.docx", "A 10000-2025")</f>
        <v/>
      </c>
    </row>
    <row r="48" ht="15" customHeight="1">
      <c r="A48" t="inlineStr">
        <is>
          <t>A 30520-2026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46310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7.3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Entita</t>
        </is>
      </c>
      <c r="W48">
        <f>HYPERLINK("https://klasma.github.io/Logging_1276/artfynd/A 30520-2026 artfynd.xlsx", "A 30520-2026")</f>
        <v/>
      </c>
      <c r="X48">
        <f>HYPERLINK("https://klasma.github.io/Logging_1276/kartor/A 30520-2026 karta.png", "A 30520-2026")</f>
        <v/>
      </c>
      <c r="Y48">
        <f>HYPERLINK("https://klasma.github.io/Logging_1276/kartor_geotiff/A 30520-2026 georefererad karta.tif", "A 30520-2026")</f>
        <v/>
      </c>
      <c r="AA48">
        <f>HYPERLINK("https://klasma.github.io/Logging_1276/klagomål/A 30520-2026 FSC-klagomål.docx", "A 30520-2026")</f>
        <v/>
      </c>
      <c r="AB48">
        <f>HYPERLINK("https://klasma.github.io/Logging_1276/klagomålsmail/A 30520-2026 FSC-klagomål mail.docx", "A 30520-2026")</f>
        <v/>
      </c>
      <c r="AC48">
        <f>HYPERLINK("https://klasma.github.io/Logging_1276/tillsyn/A 30520-2026 tillsynsbegäran.docx", "A 30520-2026")</f>
        <v/>
      </c>
      <c r="AD48">
        <f>HYPERLINK("https://klasma.github.io/Logging_1276/tillsynsmail/A 30520-2026 tillsynsbegäran mail.docx", "A 30520-2026")</f>
        <v/>
      </c>
      <c r="AE48">
        <f>HYPERLINK("https://klasma.github.io/Logging_1276/fåglar/A 30520-2026 prioriterade fågelarter.docx", "A 30520-2026")</f>
        <v/>
      </c>
    </row>
    <row r="49" ht="15" customHeight="1">
      <c r="A49" t="inlineStr">
        <is>
          <t>A 51276-2024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46310</v>
      </c>
      <c r="F49" t="inlineStr">
        <is>
          <t>SKÅNE LÄN</t>
        </is>
      </c>
      <c r="G49" t="inlineStr">
        <is>
          <t>KLIPPAN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Rutskinn</t>
        </is>
      </c>
      <c r="W49">
        <f>HYPERLINK("https://klasma.github.io/Logging_1276/artfynd/A 51276-2024 artfynd.xlsx", "A 51276-2024")</f>
        <v/>
      </c>
      <c r="X49">
        <f>HYPERLINK("https://klasma.github.io/Logging_1276/kartor/A 51276-2024 karta.png", "A 51276-2024")</f>
        <v/>
      </c>
      <c r="Y49">
        <f>HYPERLINK("https://klasma.github.io/Logging_1276/kartor_geotiff/A 51276-2024 georefererad karta.tif", "A 51276-2024")</f>
        <v/>
      </c>
      <c r="AA49">
        <f>HYPERLINK("https://klasma.github.io/Logging_1276/klagomål/A 51276-2024 FSC-klagomål.docx", "A 51276-2024")</f>
        <v/>
      </c>
      <c r="AB49">
        <f>HYPERLINK("https://klasma.github.io/Logging_1276/klagomålsmail/A 51276-2024 FSC-klagomål mail.docx", "A 51276-2024")</f>
        <v/>
      </c>
      <c r="AC49">
        <f>HYPERLINK("https://klasma.github.io/Logging_1276/tillsyn/A 51276-2024 tillsynsbegäran.docx", "A 51276-2024")</f>
        <v/>
      </c>
      <c r="AD49">
        <f>HYPERLINK("https://klasma.github.io/Logging_1276/tillsynsmail/A 51276-2024 tillsynsbegäran mail.docx", "A 51276-2024")</f>
        <v/>
      </c>
    </row>
    <row r="50" ht="15" customHeight="1">
      <c r="A50" t="inlineStr">
        <is>
          <t>S 841-2023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44992</v>
      </c>
      <c r="E50" s="1" t="n">
        <v>46310</v>
      </c>
      <c r="F50" t="inlineStr">
        <is>
          <t>SKÅNE LÄN</t>
        </is>
      </c>
      <c r="G50" t="inlineStr">
        <is>
          <t>KLIPPAN</t>
        </is>
      </c>
      <c r="I50" t="n">
        <v>23.9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HYPERLINK("https://klasma.github.io/Logging_1276/artfynd/S 841-2023 artfynd.xlsx", "S 841-2023")</f>
        <v/>
      </c>
      <c r="X50">
        <f>HYPERLINK("https://klasma.github.io/Logging_1276/kartor/S 841-2023 karta.png", "S 841-2023")</f>
        <v/>
      </c>
      <c r="Y50">
        <f>HYPERLINK("https://klasma.github.io/Logging_1276/kartor_geotiff/S 841-2023 georefererad karta.tif", "S 841-2023")</f>
        <v/>
      </c>
      <c r="AA50">
        <f>HYPERLINK("https://klasma.github.io/Logging_1276/klagomål/S 841-2023 FSC-klagomål.docx", "S 841-2023")</f>
        <v/>
      </c>
      <c r="AB50">
        <f>HYPERLINK("https://klasma.github.io/Logging_1276/klagomålsmail/S 841-2023 FSC-klagomål mail.docx", "S 841-2023")</f>
        <v/>
      </c>
      <c r="AC50">
        <f>HYPERLINK("https://klasma.github.io/Logging_1276/tillsyn/S 841-2023 tillsynsbegäran.docx", "S 841-2023")</f>
        <v/>
      </c>
      <c r="AD50">
        <f>HYPERLINK("https://klasma.github.io/Logging_1276/tillsynsmail/S 841-2023 tillsynsbegäran mail.docx", "S 841-2023")</f>
        <v/>
      </c>
    </row>
    <row r="51" ht="15" customHeight="1">
      <c r="A51" t="inlineStr">
        <is>
          <t>S 3667-2023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45217</v>
      </c>
      <c r="E51" s="1" t="n">
        <v>46310</v>
      </c>
      <c r="F51" t="inlineStr">
        <is>
          <t>SKÅNE LÄN</t>
        </is>
      </c>
      <c r="G51" t="inlineStr">
        <is>
          <t>KLIPPAN</t>
        </is>
      </c>
      <c r="I51" t="n">
        <v>186.4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HYPERLINK("https://klasma.github.io/Logging_1276/artfynd/S 3667-2023 artfynd.xlsx", "S 3667-2023")</f>
        <v/>
      </c>
      <c r="X51">
        <f>HYPERLINK("https://klasma.github.io/Logging_1276/kartor/S 3667-2023 karta.png", "S 3667-2023")</f>
        <v/>
      </c>
      <c r="Y51">
        <f>HYPERLINK("https://klasma.github.io/Logging_1276/kartor_geotiff/S 3667-2023 georefererad karta.tif", "S 3667-2023")</f>
        <v/>
      </c>
      <c r="AA51">
        <f>HYPERLINK("https://klasma.github.io/Logging_1276/klagomål/S 3667-2023 FSC-klagomål.docx", "S 3667-2023")</f>
        <v/>
      </c>
      <c r="AB51">
        <f>HYPERLINK("https://klasma.github.io/Logging_1276/klagomålsmail/S 3667-2023 FSC-klagomål mail.docx", "S 3667-2023")</f>
        <v/>
      </c>
      <c r="AC51">
        <f>HYPERLINK("https://klasma.github.io/Logging_1276/tillsyn/S 3667-2023 tillsynsbegäran.docx", "S 3667-2023")</f>
        <v/>
      </c>
      <c r="AD51">
        <f>HYPERLINK("https://klasma.github.io/Logging_1276/tillsynsmail/S 3667-2023 tillsynsbegäran mail.docx", "S 3667-2023")</f>
        <v/>
      </c>
    </row>
    <row r="52" ht="15" customHeight="1">
      <c r="A52" t="inlineStr">
        <is>
          <t>S 5988-2022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44859</v>
      </c>
      <c r="E52" s="1" t="n">
        <v>46310</v>
      </c>
      <c r="F52" t="inlineStr">
        <is>
          <t>SKÅNE LÄN</t>
        </is>
      </c>
      <c r="G52" t="inlineStr">
        <is>
          <t>KLIPPAN</t>
        </is>
      </c>
      <c r="I52" t="n">
        <v>27.8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HYPERLINK("https://klasma.github.io/Logging_1276/artfynd/S 5988-2022 artfynd.xlsx", "S 5988-2022")</f>
        <v/>
      </c>
      <c r="X52">
        <f>HYPERLINK("https://klasma.github.io/Logging_1276/kartor/S 5988-2022 karta.png", "S 5988-2022")</f>
        <v/>
      </c>
      <c r="Y52">
        <f>HYPERLINK("https://klasma.github.io/Logging_1276/kartor_geotiff/S 5988-2022 georefererad karta.tif", "S 5988-2022")</f>
        <v/>
      </c>
      <c r="AA52">
        <f>HYPERLINK("https://klasma.github.io/Logging_1276/klagomål/S 5988-2022 FSC-klagomål.docx", "S 5988-2022")</f>
        <v/>
      </c>
      <c r="AB52">
        <f>HYPERLINK("https://klasma.github.io/Logging_1276/klagomålsmail/S 5988-2022 FSC-klagomål mail.docx", "S 5988-2022")</f>
        <v/>
      </c>
      <c r="AC52">
        <f>HYPERLINK("https://klasma.github.io/Logging_1276/tillsyn/S 5988-2022 tillsynsbegäran.docx", "S 5988-2022")</f>
        <v/>
      </c>
      <c r="AD52">
        <f>HYPERLINK("https://klasma.github.io/Logging_1276/tillsynsmail/S 5988-2022 tillsynsbegäran mail.docx", "S 5988-2022")</f>
        <v/>
      </c>
    </row>
    <row r="53" ht="15" customHeight="1">
      <c r="A53" t="inlineStr">
        <is>
          <t>S 2025-2022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44665</v>
      </c>
      <c r="E53" s="1" t="n">
        <v>46310</v>
      </c>
      <c r="F53" t="inlineStr">
        <is>
          <t>SKÅNE LÄN</t>
        </is>
      </c>
      <c r="G53" t="inlineStr">
        <is>
          <t>KLIPPAN</t>
        </is>
      </c>
      <c r="I53" t="n">
        <v>13.5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HYPERLINK("https://klasma.github.io/Logging_1276/artfynd/S 2025-2022 artfynd.xlsx", "S 2025-2022")</f>
        <v/>
      </c>
      <c r="X53">
        <f>HYPERLINK("https://klasma.github.io/Logging_1276/kartor/S 2025-2022 karta.png", "S 2025-2022")</f>
        <v/>
      </c>
      <c r="Y53">
        <f>HYPERLINK("https://klasma.github.io/Logging_1276/kartor_geotiff/S 2025-2022 georefererad karta.tif", "S 2025-2022")</f>
        <v/>
      </c>
      <c r="AA53">
        <f>HYPERLINK("https://klasma.github.io/Logging_1276/klagomål/S 2025-2022 FSC-klagomål.docx", "S 2025-2022")</f>
        <v/>
      </c>
      <c r="AB53">
        <f>HYPERLINK("https://klasma.github.io/Logging_1276/klagomålsmail/S 2025-2022 FSC-klagomål mail.docx", "S 2025-2022")</f>
        <v/>
      </c>
      <c r="AC53">
        <f>HYPERLINK("https://klasma.github.io/Logging_1276/tillsyn/S 2025-2022 tillsynsbegäran.docx", "S 2025-2022")</f>
        <v/>
      </c>
      <c r="AD53">
        <f>HYPERLINK("https://klasma.github.io/Logging_1276/tillsynsmail/S 2025-2022 tillsynsbegäran mail.docx", "S 2025-2022")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46310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46310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46310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46310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46310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46310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46310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46310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46310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46310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46310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46310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46310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46310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46310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46310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46310</v>
      </c>
      <c r="F71" t="inlineStr">
        <is>
          <t>SKÅNE LÄN</t>
        </is>
      </c>
      <c r="G71" t="inlineStr">
        <is>
          <t>KLIPPAN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46310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46728-2023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45198</v>
      </c>
      <c r="E73" s="1" t="n">
        <v>46310</v>
      </c>
      <c r="F73" t="inlineStr">
        <is>
          <t>SKÅNE LÄN</t>
        </is>
      </c>
      <c r="G73" t="inlineStr">
        <is>
          <t>KLIPPAN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46310</v>
      </c>
      <c r="F74" t="inlineStr">
        <is>
          <t>SKÅNE LÄN</t>
        </is>
      </c>
      <c r="G74" t="inlineStr">
        <is>
          <t>KLIPPAN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44228-2024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45573</v>
      </c>
      <c r="E75" s="1" t="n">
        <v>46310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46310</v>
      </c>
      <c r="F76" t="inlineStr">
        <is>
          <t>SKÅNE LÄN</t>
        </is>
      </c>
      <c r="G76" t="inlineStr">
        <is>
          <t>KLIPPAN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44531</v>
      </c>
      <c r="E77" s="1" t="n">
        <v>46310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44700</v>
      </c>
      <c r="E78" s="1" t="n">
        <v>46310</v>
      </c>
      <c r="F78" t="inlineStr">
        <is>
          <t>SKÅNE LÄN</t>
        </is>
      </c>
      <c r="G78" t="inlineStr">
        <is>
          <t>KLIPPAN</t>
        </is>
      </c>
      <c r="H78" t="inlineStr">
        <is>
          <t>Kommuner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44679</v>
      </c>
      <c r="E79" s="1" t="n">
        <v>46310</v>
      </c>
      <c r="F79" t="inlineStr">
        <is>
          <t>SKÅNE LÄN</t>
        </is>
      </c>
      <c r="G79" t="inlineStr">
        <is>
          <t>KLIPPAN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46310</v>
      </c>
      <c r="F80" t="inlineStr">
        <is>
          <t>SKÅNE LÄN</t>
        </is>
      </c>
      <c r="G80" t="inlineStr">
        <is>
          <t>KLIPPAN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45638</v>
      </c>
      <c r="E81" s="1" t="n">
        <v>46310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45094</v>
      </c>
      <c r="E82" s="1" t="n">
        <v>46310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46310</v>
      </c>
      <c r="F83" t="inlineStr">
        <is>
          <t>SKÅNE LÄN</t>
        </is>
      </c>
      <c r="G83" t="inlineStr">
        <is>
          <t>KLIPPAN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45660</v>
      </c>
      <c r="E84" s="1" t="n">
        <v>46310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45824</v>
      </c>
      <c r="E85" s="1" t="n">
        <v>46310</v>
      </c>
      <c r="F85" t="inlineStr">
        <is>
          <t>SKÅNE LÄN</t>
        </is>
      </c>
      <c r="G85" t="inlineStr">
        <is>
          <t>KLIPPAN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44944</v>
      </c>
      <c r="E86" s="1" t="n">
        <v>46310</v>
      </c>
      <c r="F86" t="inlineStr">
        <is>
          <t>SKÅNE LÄN</t>
        </is>
      </c>
      <c r="G86" t="inlineStr">
        <is>
          <t>KLIPPAN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46310</v>
      </c>
      <c r="F87" t="inlineStr">
        <is>
          <t>SKÅNE LÄN</t>
        </is>
      </c>
      <c r="G87" t="inlineStr">
        <is>
          <t>KLIPPAN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46310</v>
      </c>
      <c r="F88" t="inlineStr">
        <is>
          <t>SKÅNE LÄN</t>
        </is>
      </c>
      <c r="G88" t="inlineStr">
        <is>
          <t>KLIPPAN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46310</v>
      </c>
      <c r="F89" t="inlineStr">
        <is>
          <t>SKÅNE LÄN</t>
        </is>
      </c>
      <c r="G89" t="inlineStr">
        <is>
          <t>KLIPPAN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45523</v>
      </c>
      <c r="E90" s="1" t="n">
        <v>46310</v>
      </c>
      <c r="F90" t="inlineStr">
        <is>
          <t>SKÅNE LÄN</t>
        </is>
      </c>
      <c r="G90" t="inlineStr">
        <is>
          <t>KLIPPAN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46310</v>
      </c>
      <c r="F91" t="inlineStr">
        <is>
          <t>SKÅNE LÄN</t>
        </is>
      </c>
      <c r="G91" t="inlineStr">
        <is>
          <t>KLIPPAN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8712-2023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44978</v>
      </c>
      <c r="E92" s="1" t="n">
        <v>46310</v>
      </c>
      <c r="F92" t="inlineStr">
        <is>
          <t>SKÅNE LÄN</t>
        </is>
      </c>
      <c r="G92" t="inlineStr">
        <is>
          <t>KLIPPAN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46310</v>
      </c>
      <c r="F93" t="inlineStr">
        <is>
          <t>SKÅNE LÄN</t>
        </is>
      </c>
      <c r="G93" t="inlineStr">
        <is>
          <t>KLIPPAN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46310</v>
      </c>
      <c r="F94" t="inlineStr">
        <is>
          <t>SKÅNE LÄN</t>
        </is>
      </c>
      <c r="G94" t="inlineStr">
        <is>
          <t>KLIPPAN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45079</v>
      </c>
      <c r="E95" s="1" t="n">
        <v>46310</v>
      </c>
      <c r="F95" t="inlineStr">
        <is>
          <t>SKÅNE LÄN</t>
        </is>
      </c>
      <c r="G95" t="inlineStr">
        <is>
          <t>KLIPPAN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46310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46310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46310</v>
      </c>
      <c r="F98" t="inlineStr">
        <is>
          <t>SKÅNE LÄN</t>
        </is>
      </c>
      <c r="G98" t="inlineStr">
        <is>
          <t>KLIPPAN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46310</v>
      </c>
      <c r="F99" t="inlineStr">
        <is>
          <t>SKÅNE LÄN</t>
        </is>
      </c>
      <c r="G99" t="inlineStr">
        <is>
          <t>KLIPPAN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46310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45785</v>
      </c>
      <c r="E101" s="1" t="n">
        <v>46310</v>
      </c>
      <c r="F101" t="inlineStr">
        <is>
          <t>SKÅNE LÄN</t>
        </is>
      </c>
      <c r="G101" t="inlineStr">
        <is>
          <t>KLIPPAN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45847</v>
      </c>
      <c r="E102" s="1" t="n">
        <v>46310</v>
      </c>
      <c r="F102" t="inlineStr">
        <is>
          <t>SKÅNE LÄN</t>
        </is>
      </c>
      <c r="G102" t="inlineStr">
        <is>
          <t>KLIPPAN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7661-2025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46310</v>
      </c>
      <c r="F103" t="inlineStr">
        <is>
          <t>SKÅNE LÄN</t>
        </is>
      </c>
      <c r="G103" t="inlineStr">
        <is>
          <t>KLIPPAN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44930</v>
      </c>
      <c r="E104" s="1" t="n">
        <v>46310</v>
      </c>
      <c r="F104" t="inlineStr">
        <is>
          <t>SKÅNE LÄN</t>
        </is>
      </c>
      <c r="G104" t="inlineStr">
        <is>
          <t>KLIPPAN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45519</v>
      </c>
      <c r="E105" s="1" t="n">
        <v>46310</v>
      </c>
      <c r="F105" t="inlineStr">
        <is>
          <t>SKÅNE LÄN</t>
        </is>
      </c>
      <c r="G105" t="inlineStr">
        <is>
          <t>KLIPPAN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45328</v>
      </c>
      <c r="E106" s="1" t="n">
        <v>46310</v>
      </c>
      <c r="F106" t="inlineStr">
        <is>
          <t>SKÅNE LÄN</t>
        </is>
      </c>
      <c r="G106" t="inlineStr">
        <is>
          <t>KLIPPAN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44944</v>
      </c>
      <c r="E107" s="1" t="n">
        <v>46310</v>
      </c>
      <c r="F107" t="inlineStr">
        <is>
          <t>SKÅNE LÄN</t>
        </is>
      </c>
      <c r="G107" t="inlineStr">
        <is>
          <t>KLIPPAN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46310</v>
      </c>
      <c r="F108" t="inlineStr">
        <is>
          <t>SKÅNE LÄN</t>
        </is>
      </c>
      <c r="G108" t="inlineStr">
        <is>
          <t>KLIPPAN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46310</v>
      </c>
      <c r="F109" t="inlineStr">
        <is>
          <t>SKÅNE LÄN</t>
        </is>
      </c>
      <c r="G109" t="inlineStr">
        <is>
          <t>KLIPPAN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45399</v>
      </c>
      <c r="E110" s="1" t="n">
        <v>46310</v>
      </c>
      <c r="F110" t="inlineStr">
        <is>
          <t>SKÅNE LÄN</t>
        </is>
      </c>
      <c r="G110" t="inlineStr">
        <is>
          <t>KLIPPAN</t>
        </is>
      </c>
      <c r="H110" t="inlineStr">
        <is>
          <t>Övriga Aktiebolag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46310</v>
      </c>
      <c r="F111" t="inlineStr">
        <is>
          <t>SKÅNE LÄN</t>
        </is>
      </c>
      <c r="G111" t="inlineStr">
        <is>
          <t>KLIPPAN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46310</v>
      </c>
      <c r="F112" t="inlineStr">
        <is>
          <t>SKÅNE LÄN</t>
        </is>
      </c>
      <c r="G112" t="inlineStr">
        <is>
          <t>KLIPPAN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46310</v>
      </c>
      <c r="F113" t="inlineStr">
        <is>
          <t>SKÅNE LÄN</t>
        </is>
      </c>
      <c r="G113" t="inlineStr">
        <is>
          <t>KLIPPAN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38724-2023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46310</v>
      </c>
      <c r="F114" t="inlineStr">
        <is>
          <t>SKÅNE LÄN</t>
        </is>
      </c>
      <c r="G114" t="inlineStr">
        <is>
          <t>KLIPPAN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58642-2021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46310</v>
      </c>
      <c r="F115" t="inlineStr">
        <is>
          <t>SKÅNE LÄN</t>
        </is>
      </c>
      <c r="G115" t="inlineStr">
        <is>
          <t>KLIPPAN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45538</v>
      </c>
      <c r="E116" s="1" t="n">
        <v>46310</v>
      </c>
      <c r="F116" t="inlineStr">
        <is>
          <t>SKÅNE LÄN</t>
        </is>
      </c>
      <c r="G116" t="inlineStr">
        <is>
          <t>KLIPPAN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46310</v>
      </c>
      <c r="F117" t="inlineStr">
        <is>
          <t>SKÅNE LÄN</t>
        </is>
      </c>
      <c r="G117" t="inlineStr">
        <is>
          <t>KLIPPAN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46310</v>
      </c>
      <c r="F118" t="inlineStr">
        <is>
          <t>SKÅNE LÄN</t>
        </is>
      </c>
      <c r="G118" t="inlineStr">
        <is>
          <t>KLIPPAN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46310</v>
      </c>
      <c r="F119" t="inlineStr">
        <is>
          <t>SKÅNE LÄN</t>
        </is>
      </c>
      <c r="G119" t="inlineStr">
        <is>
          <t>KLIPPAN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46310</v>
      </c>
      <c r="F120" t="inlineStr">
        <is>
          <t>SKÅNE LÄN</t>
        </is>
      </c>
      <c r="G120" t="inlineStr">
        <is>
          <t>KLIPPAN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9488-2026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46310</v>
      </c>
      <c r="F121" t="inlineStr">
        <is>
          <t>SKÅNE LÄN</t>
        </is>
      </c>
      <c r="G121" t="inlineStr">
        <is>
          <t>KLIPPAN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46310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46310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18214-2023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45040</v>
      </c>
      <c r="E124" s="1" t="n">
        <v>46310</v>
      </c>
      <c r="F124" t="inlineStr">
        <is>
          <t>SKÅNE LÄN</t>
        </is>
      </c>
      <c r="G124" t="inlineStr">
        <is>
          <t>KLIPPAN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45324</v>
      </c>
      <c r="E125" s="1" t="n">
        <v>46310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45260</v>
      </c>
      <c r="E126" s="1" t="n">
        <v>46310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46310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46310</v>
      </c>
      <c r="F128" t="inlineStr">
        <is>
          <t>SKÅNE LÄN</t>
        </is>
      </c>
      <c r="G128" t="inlineStr">
        <is>
          <t>KLIPPAN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45324</v>
      </c>
      <c r="E129" s="1" t="n">
        <v>46310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46310</v>
      </c>
      <c r="F130" t="inlineStr">
        <is>
          <t>SKÅNE LÄN</t>
        </is>
      </c>
      <c r="G130" t="inlineStr">
        <is>
          <t>KLIPPAN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44841</v>
      </c>
      <c r="E131" s="1" t="n">
        <v>46310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45972</v>
      </c>
      <c r="E132" s="1" t="n">
        <v>46310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45419</v>
      </c>
      <c r="E133" s="1" t="n">
        <v>46310</v>
      </c>
      <c r="F133" t="inlineStr">
        <is>
          <t>SKÅNE LÄN</t>
        </is>
      </c>
      <c r="G133" t="inlineStr">
        <is>
          <t>KLIPPAN</t>
        </is>
      </c>
      <c r="H133" t="inlineStr">
        <is>
          <t>Övriga Aktiebolag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46310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46310</v>
      </c>
      <c r="F135" t="inlineStr">
        <is>
          <t>SKÅNE LÄN</t>
        </is>
      </c>
      <c r="G135" t="inlineStr">
        <is>
          <t>KLIPPAN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45739</v>
      </c>
      <c r="E136" s="1" t="n">
        <v>46310</v>
      </c>
      <c r="F136" t="inlineStr">
        <is>
          <t>SKÅNE LÄN</t>
        </is>
      </c>
      <c r="G136" t="inlineStr">
        <is>
          <t>KLIPPAN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46310</v>
      </c>
      <c r="F137" t="inlineStr">
        <is>
          <t>SKÅNE LÄN</t>
        </is>
      </c>
      <c r="G137" t="inlineStr">
        <is>
          <t>KLIPPAN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46310</v>
      </c>
      <c r="F138" t="inlineStr">
        <is>
          <t>SKÅNE LÄN</t>
        </is>
      </c>
      <c r="G138" t="inlineStr">
        <is>
          <t>KLIPPAN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46310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46310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46310</v>
      </c>
      <c r="F141" t="inlineStr">
        <is>
          <t>SKÅNE LÄN</t>
        </is>
      </c>
      <c r="G141" t="inlineStr">
        <is>
          <t>KLIPPAN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45055</v>
      </c>
      <c r="E142" s="1" t="n">
        <v>46310</v>
      </c>
      <c r="F142" t="inlineStr">
        <is>
          <t>SKÅNE LÄN</t>
        </is>
      </c>
      <c r="G142" t="inlineStr">
        <is>
          <t>KLIPPAN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46310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45224</v>
      </c>
      <c r="E144" s="1" t="n">
        <v>46310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46310</v>
      </c>
      <c r="F145" t="inlineStr">
        <is>
          <t>SKÅNE LÄN</t>
        </is>
      </c>
      <c r="G145" t="inlineStr">
        <is>
          <t>KLIPPAN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46310</v>
      </c>
      <c r="F146" t="inlineStr">
        <is>
          <t>SKÅNE LÄN</t>
        </is>
      </c>
      <c r="G146" t="inlineStr">
        <is>
          <t>KLIPPAN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46310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46027</v>
      </c>
      <c r="E148" s="1" t="n">
        <v>46310</v>
      </c>
      <c r="F148" t="inlineStr">
        <is>
          <t>SKÅNE LÄN</t>
        </is>
      </c>
      <c r="G148" t="inlineStr">
        <is>
          <t>KLIPPAN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46310</v>
      </c>
      <c r="F149" t="inlineStr">
        <is>
          <t>SKÅNE LÄN</t>
        </is>
      </c>
      <c r="G149" t="inlineStr">
        <is>
          <t>KLIPPAN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38156-2022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46310</v>
      </c>
      <c r="F150" t="inlineStr">
        <is>
          <t>SKÅNE LÄN</t>
        </is>
      </c>
      <c r="G150" t="inlineStr">
        <is>
          <t>KLIPPAN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46310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69041-2021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44529</v>
      </c>
      <c r="E152" s="1" t="n">
        <v>46310</v>
      </c>
      <c r="F152" t="inlineStr">
        <is>
          <t>SKÅNE LÄN</t>
        </is>
      </c>
      <c r="G152" t="inlineStr">
        <is>
          <t>KLIPPAN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46310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46310</v>
      </c>
      <c r="F154" t="inlineStr">
        <is>
          <t>SKÅNE LÄN</t>
        </is>
      </c>
      <c r="G154" t="inlineStr">
        <is>
          <t>KLIPPAN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55833-2023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45239</v>
      </c>
      <c r="E155" s="1" t="n">
        <v>46310</v>
      </c>
      <c r="F155" t="inlineStr">
        <is>
          <t>SKÅNE LÄN</t>
        </is>
      </c>
      <c r="G155" t="inlineStr">
        <is>
          <t>KLIPPAN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46310</v>
      </c>
      <c r="F156" t="inlineStr">
        <is>
          <t>SKÅNE LÄN</t>
        </is>
      </c>
      <c r="G156" t="inlineStr">
        <is>
          <t>KLIPPAN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46049</v>
      </c>
      <c r="E157" s="1" t="n">
        <v>46310</v>
      </c>
      <c r="F157" t="inlineStr">
        <is>
          <t>SKÅNE LÄN</t>
        </is>
      </c>
      <c r="G157" t="inlineStr">
        <is>
          <t>KLIPPAN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45673</v>
      </c>
      <c r="E158" s="1" t="n">
        <v>46310</v>
      </c>
      <c r="F158" t="inlineStr">
        <is>
          <t>SKÅNE LÄN</t>
        </is>
      </c>
      <c r="G158" t="inlineStr">
        <is>
          <t>KLIPPAN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46310</v>
      </c>
      <c r="F159" t="inlineStr">
        <is>
          <t>SKÅNE LÄN</t>
        </is>
      </c>
      <c r="G159" t="inlineStr">
        <is>
          <t>KLIPPAN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46310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46310</v>
      </c>
      <c r="F161" t="inlineStr">
        <is>
          <t>SKÅNE LÄN</t>
        </is>
      </c>
      <c r="G161" t="inlineStr">
        <is>
          <t>KLIPPAN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46310</v>
      </c>
      <c r="F162" t="inlineStr">
        <is>
          <t>SKÅNE LÄN</t>
        </is>
      </c>
      <c r="G162" t="inlineStr">
        <is>
          <t>KLIPPAN</t>
        </is>
      </c>
      <c r="H162" t="inlineStr">
        <is>
          <t>Övriga Aktiebolag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45223</v>
      </c>
      <c r="E163" s="1" t="n">
        <v>46310</v>
      </c>
      <c r="F163" t="inlineStr">
        <is>
          <t>SKÅNE LÄN</t>
        </is>
      </c>
      <c r="G163" t="inlineStr">
        <is>
          <t>KLIPPAN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46310</v>
      </c>
      <c r="F164" t="inlineStr">
        <is>
          <t>SKÅNE LÄN</t>
        </is>
      </c>
      <c r="G164" t="inlineStr">
        <is>
          <t>KLIPPAN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46310</v>
      </c>
      <c r="F165" t="inlineStr">
        <is>
          <t>SKÅNE LÄN</t>
        </is>
      </c>
      <c r="G165" t="inlineStr">
        <is>
          <t>KLIPPAN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46310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46310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46310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46310</v>
      </c>
      <c r="F169" t="inlineStr">
        <is>
          <t>SKÅNE LÄN</t>
        </is>
      </c>
      <c r="G169" t="inlineStr">
        <is>
          <t>KLIPPAN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46310</v>
      </c>
      <c r="F170" t="inlineStr">
        <is>
          <t>SKÅNE LÄN</t>
        </is>
      </c>
      <c r="G170" t="inlineStr">
        <is>
          <t>KLIPPAN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21778-2026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46310</v>
      </c>
      <c r="F171" t="inlineStr">
        <is>
          <t>SKÅNE LÄN</t>
        </is>
      </c>
      <c r="G171" t="inlineStr">
        <is>
          <t>KLIPPAN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46310</v>
      </c>
      <c r="F172" t="inlineStr">
        <is>
          <t>SKÅNE LÄN</t>
        </is>
      </c>
      <c r="G172" t="inlineStr">
        <is>
          <t>KLIPPAN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46310</v>
      </c>
      <c r="F173" t="inlineStr">
        <is>
          <t>SKÅNE LÄN</t>
        </is>
      </c>
      <c r="G173" t="inlineStr">
        <is>
          <t>KLIPPAN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44988</v>
      </c>
      <c r="E174" s="1" t="n">
        <v>46310</v>
      </c>
      <c r="F174" t="inlineStr">
        <is>
          <t>SKÅNE LÄN</t>
        </is>
      </c>
      <c r="G174" t="inlineStr">
        <is>
          <t>KLIPPAN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45013</v>
      </c>
      <c r="E175" s="1" t="n">
        <v>46310</v>
      </c>
      <c r="F175" t="inlineStr">
        <is>
          <t>SKÅNE LÄN</t>
        </is>
      </c>
      <c r="G175" t="inlineStr">
        <is>
          <t>KLIPPAN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46310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46310</v>
      </c>
      <c r="F177" t="inlineStr">
        <is>
          <t>SKÅNE LÄN</t>
        </is>
      </c>
      <c r="G177" t="inlineStr">
        <is>
          <t>KLIPPAN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46310</v>
      </c>
      <c r="F178" t="inlineStr">
        <is>
          <t>SKÅNE LÄN</t>
        </is>
      </c>
      <c r="G178" t="inlineStr">
        <is>
          <t>KLIPPAN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46310</v>
      </c>
      <c r="F179" t="inlineStr">
        <is>
          <t>SKÅNE LÄN</t>
        </is>
      </c>
      <c r="G179" t="inlineStr">
        <is>
          <t>KLIPPAN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45739</v>
      </c>
      <c r="E180" s="1" t="n">
        <v>46310</v>
      </c>
      <c r="F180" t="inlineStr">
        <is>
          <t>SKÅNE LÄN</t>
        </is>
      </c>
      <c r="G180" t="inlineStr">
        <is>
          <t>KLIPPAN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46310</v>
      </c>
      <c r="F181" t="inlineStr">
        <is>
          <t>SKÅNE LÄN</t>
        </is>
      </c>
      <c r="G181" t="inlineStr">
        <is>
          <t>KLIPPAN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46310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45078</v>
      </c>
      <c r="E183" s="1" t="n">
        <v>46310</v>
      </c>
      <c r="F183" t="inlineStr">
        <is>
          <t>SKÅNE LÄN</t>
        </is>
      </c>
      <c r="G183" t="inlineStr">
        <is>
          <t>KLIPPAN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46310</v>
      </c>
      <c r="F184" t="inlineStr">
        <is>
          <t>SKÅNE LÄN</t>
        </is>
      </c>
      <c r="G184" t="inlineStr">
        <is>
          <t>KLIPPAN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45641-2022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44845</v>
      </c>
      <c r="E185" s="1" t="n">
        <v>46310</v>
      </c>
      <c r="F185" t="inlineStr">
        <is>
          <t>SKÅNE LÄN</t>
        </is>
      </c>
      <c r="G185" t="inlineStr">
        <is>
          <t>KLIPPAN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45442</v>
      </c>
      <c r="E186" s="1" t="n">
        <v>46310</v>
      </c>
      <c r="F186" t="inlineStr">
        <is>
          <t>SKÅNE LÄN</t>
        </is>
      </c>
      <c r="G186" t="inlineStr">
        <is>
          <t>KLIPPAN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46310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45260</v>
      </c>
      <c r="E188" s="1" t="n">
        <v>46310</v>
      </c>
      <c r="F188" t="inlineStr">
        <is>
          <t>SKÅNE LÄN</t>
        </is>
      </c>
      <c r="G188" t="inlineStr">
        <is>
          <t>KLIPPAN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45013</v>
      </c>
      <c r="E189" s="1" t="n">
        <v>46310</v>
      </c>
      <c r="F189" t="inlineStr">
        <is>
          <t>SKÅNE LÄN</t>
        </is>
      </c>
      <c r="G189" t="inlineStr">
        <is>
          <t>KLIPPAN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46310</v>
      </c>
      <c r="F190" t="inlineStr">
        <is>
          <t>SKÅNE LÄN</t>
        </is>
      </c>
      <c r="G190" t="inlineStr">
        <is>
          <t>KLIPPAN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46310</v>
      </c>
      <c r="F191" t="inlineStr">
        <is>
          <t>SKÅNE LÄN</t>
        </is>
      </c>
      <c r="G191" t="inlineStr">
        <is>
          <t>KLIPPAN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46310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46310</v>
      </c>
      <c r="F193" t="inlineStr">
        <is>
          <t>SKÅNE LÄN</t>
        </is>
      </c>
      <c r="G193" t="inlineStr">
        <is>
          <t>KLIPPAN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46310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46310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46310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30353-2026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46310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46310</v>
      </c>
      <c r="F198" t="inlineStr">
        <is>
          <t>SKÅNE LÄN</t>
        </is>
      </c>
      <c r="G198" t="inlineStr">
        <is>
          <t>KLIPPAN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46310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46310</v>
      </c>
      <c r="F200" t="inlineStr">
        <is>
          <t>SKÅNE LÄN</t>
        </is>
      </c>
      <c r="G200" t="inlineStr">
        <is>
          <t>KLIPPAN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46310</v>
      </c>
      <c r="F201" t="inlineStr">
        <is>
          <t>SKÅNE LÄN</t>
        </is>
      </c>
      <c r="G201" t="inlineStr">
        <is>
          <t>KLIPPAN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46310</v>
      </c>
      <c r="F202" t="inlineStr">
        <is>
          <t>SKÅNE LÄN</t>
        </is>
      </c>
      <c r="G202" t="inlineStr">
        <is>
          <t>KLIPPAN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46216</v>
      </c>
      <c r="E203" s="1" t="n">
        <v>46310</v>
      </c>
      <c r="F203" t="inlineStr">
        <is>
          <t>SKÅNE LÄN</t>
        </is>
      </c>
      <c r="G203" t="inlineStr">
        <is>
          <t>KLIPPAN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46216</v>
      </c>
      <c r="E204" s="1" t="n">
        <v>46310</v>
      </c>
      <c r="F204" t="inlineStr">
        <is>
          <t>SKÅNE LÄN</t>
        </is>
      </c>
      <c r="G204" t="inlineStr">
        <is>
          <t>KLIPPAN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46310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46310</v>
      </c>
      <c r="F206" t="inlineStr">
        <is>
          <t>SKÅNE LÄN</t>
        </is>
      </c>
      <c r="G206" t="inlineStr">
        <is>
          <t>KLIPPAN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44901</v>
      </c>
      <c r="E207" s="1" t="n">
        <v>46310</v>
      </c>
      <c r="F207" t="inlineStr">
        <is>
          <t>SKÅNE LÄN</t>
        </is>
      </c>
      <c r="G207" t="inlineStr">
        <is>
          <t>KLIPPAN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46310</v>
      </c>
      <c r="F208" t="inlineStr">
        <is>
          <t>SKÅNE LÄN</t>
        </is>
      </c>
      <c r="G208" t="inlineStr">
        <is>
          <t>KLIPPAN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45579</v>
      </c>
      <c r="E209" s="1" t="n">
        <v>46310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46310</v>
      </c>
      <c r="F210" t="inlineStr">
        <is>
          <t>SKÅNE LÄN</t>
        </is>
      </c>
      <c r="G210" t="inlineStr">
        <is>
          <t>KLIPPAN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46310</v>
      </c>
      <c r="F211" t="inlineStr">
        <is>
          <t>SKÅNE LÄN</t>
        </is>
      </c>
      <c r="G211" t="inlineStr">
        <is>
          <t>KLIPPAN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46269</v>
      </c>
      <c r="E212" s="1" t="n">
        <v>46310</v>
      </c>
      <c r="F212" t="inlineStr">
        <is>
          <t>SKÅNE LÄN</t>
        </is>
      </c>
      <c r="G212" t="inlineStr">
        <is>
          <t>KLIPPAN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46269</v>
      </c>
      <c r="E213" s="1" t="n">
        <v>46310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45442</v>
      </c>
      <c r="E214" s="1" t="n">
        <v>46310</v>
      </c>
      <c r="F214" t="inlineStr">
        <is>
          <t>SKÅNE LÄN</t>
        </is>
      </c>
      <c r="G214" t="inlineStr">
        <is>
          <t>KLIPPAN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44936</v>
      </c>
      <c r="E215" s="1" t="n">
        <v>46310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46310</v>
      </c>
      <c r="F216" t="inlineStr">
        <is>
          <t>SKÅNE LÄN</t>
        </is>
      </c>
      <c r="G216" t="inlineStr">
        <is>
          <t>KLIPPAN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46310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52877-2022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44875</v>
      </c>
      <c r="E218" s="1" t="n">
        <v>46310</v>
      </c>
      <c r="F218" t="inlineStr">
        <is>
          <t>SKÅNE LÄN</t>
        </is>
      </c>
      <c r="G218" t="inlineStr">
        <is>
          <t>KLIPPAN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46310</v>
      </c>
      <c r="F219" t="inlineStr">
        <is>
          <t>SKÅNE LÄN</t>
        </is>
      </c>
      <c r="G219" t="inlineStr">
        <is>
          <t>KLIPPAN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46310</v>
      </c>
      <c r="F220" t="inlineStr">
        <is>
          <t>SKÅNE LÄN</t>
        </is>
      </c>
      <c r="G220" t="inlineStr">
        <is>
          <t>KLIPPAN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64224-2023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46310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46310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46310</v>
      </c>
      <c r="F223" t="inlineStr">
        <is>
          <t>SKÅNE LÄN</t>
        </is>
      </c>
      <c r="G223" t="inlineStr">
        <is>
          <t>KLIPPAN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46286</v>
      </c>
      <c r="E224" s="1" t="n">
        <v>46310</v>
      </c>
      <c r="F224" t="inlineStr">
        <is>
          <t>SKÅNE LÄN</t>
        </is>
      </c>
      <c r="G224" t="inlineStr">
        <is>
          <t>KLIPPAN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46310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68856-2021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46310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45199</v>
      </c>
      <c r="E227" s="1" t="n">
        <v>46310</v>
      </c>
      <c r="F227" t="inlineStr">
        <is>
          <t>SKÅNE LÄN</t>
        </is>
      </c>
      <c r="G227" t="inlineStr">
        <is>
          <t>KLIPPAN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46310</v>
      </c>
      <c r="F228" t="inlineStr">
        <is>
          <t>SKÅNE LÄN</t>
        </is>
      </c>
      <c r="G228" t="inlineStr">
        <is>
          <t>KLIPPAN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46310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46310</v>
      </c>
      <c r="F230" t="inlineStr">
        <is>
          <t>SKÅNE LÄN</t>
        </is>
      </c>
      <c r="G230" t="inlineStr">
        <is>
          <t>KLIPPAN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46287</v>
      </c>
      <c r="E231" s="1" t="n">
        <v>46310</v>
      </c>
      <c r="F231" t="inlineStr">
        <is>
          <t>SKÅNE LÄN</t>
        </is>
      </c>
      <c r="G231" t="inlineStr">
        <is>
          <t>KLIPPAN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45072</v>
      </c>
      <c r="E232" s="1" t="n">
        <v>46310</v>
      </c>
      <c r="F232" t="inlineStr">
        <is>
          <t>SKÅNE LÄN</t>
        </is>
      </c>
      <c r="G232" t="inlineStr">
        <is>
          <t>KLIPPAN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46310</v>
      </c>
      <c r="F233" t="inlineStr">
        <is>
          <t>SKÅNE LÄN</t>
        </is>
      </c>
      <c r="G233" t="inlineStr">
        <is>
          <t>KLIPPAN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46310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46310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45163</v>
      </c>
      <c r="E236" s="1" t="n">
        <v>46310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44722</v>
      </c>
      <c r="E237" s="1" t="n">
        <v>46310</v>
      </c>
      <c r="F237" t="inlineStr">
        <is>
          <t>SKÅNE LÄN</t>
        </is>
      </c>
      <c r="G237" t="inlineStr">
        <is>
          <t>KLIPPAN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45714</v>
      </c>
      <c r="E238" s="1" t="n">
        <v>46310</v>
      </c>
      <c r="F238" t="inlineStr">
        <is>
          <t>SKÅNE LÄN</t>
        </is>
      </c>
      <c r="G238" t="inlineStr">
        <is>
          <t>KLIPPAN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46310</v>
      </c>
      <c r="F239" t="inlineStr">
        <is>
          <t>SKÅNE LÄN</t>
        </is>
      </c>
      <c r="G239" t="inlineStr">
        <is>
          <t>KLIPPAN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46310</v>
      </c>
      <c r="F240" t="inlineStr">
        <is>
          <t>SKÅNE LÄN</t>
        </is>
      </c>
      <c r="G240" t="inlineStr">
        <is>
          <t>KLIPPAN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46310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46310</v>
      </c>
      <c r="F242" t="inlineStr">
        <is>
          <t>SKÅNE LÄN</t>
        </is>
      </c>
      <c r="G242" t="inlineStr">
        <is>
          <t>KLIPPAN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44697</v>
      </c>
      <c r="E243" s="1" t="n">
        <v>46310</v>
      </c>
      <c r="F243" t="inlineStr">
        <is>
          <t>SKÅNE LÄN</t>
        </is>
      </c>
      <c r="G243" t="inlineStr">
        <is>
          <t>KLIPPAN</t>
        </is>
      </c>
      <c r="I243" t="n">
        <v>17.2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46310</v>
      </c>
      <c r="F244" t="inlineStr">
        <is>
          <t>SKÅNE LÄN</t>
        </is>
      </c>
      <c r="G244" t="inlineStr">
        <is>
          <t>KLIPPAN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46251</v>
      </c>
      <c r="E245" s="1" t="n">
        <v>46310</v>
      </c>
      <c r="F245" t="inlineStr">
        <is>
          <t>SKÅNE LÄN</t>
        </is>
      </c>
      <c r="G245" t="inlineStr">
        <is>
          <t>KLIPPAN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46295</v>
      </c>
      <c r="E246" s="1" t="n">
        <v>46310</v>
      </c>
      <c r="F246" t="inlineStr">
        <is>
          <t>SKÅNE LÄN</t>
        </is>
      </c>
      <c r="G246" t="inlineStr">
        <is>
          <t>KLIPPAN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46310</v>
      </c>
      <c r="F247" t="inlineStr">
        <is>
          <t>SKÅNE LÄN</t>
        </is>
      </c>
      <c r="G247" t="inlineStr">
        <is>
          <t>KLIPPAN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46310</v>
      </c>
      <c r="F248" t="inlineStr">
        <is>
          <t>SKÅNE LÄN</t>
        </is>
      </c>
      <c r="G248" t="inlineStr">
        <is>
          <t>KLIPPAN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47869-2022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44855</v>
      </c>
      <c r="E249" s="1" t="n">
        <v>46310</v>
      </c>
      <c r="F249" t="inlineStr">
        <is>
          <t>SKÅNE LÄN</t>
        </is>
      </c>
      <c r="G249" t="inlineStr">
        <is>
          <t>KLIPPAN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45341</v>
      </c>
      <c r="E250" s="1" t="n">
        <v>46310</v>
      </c>
      <c r="F250" t="inlineStr">
        <is>
          <t>SKÅNE LÄN</t>
        </is>
      </c>
      <c r="G250" t="inlineStr">
        <is>
          <t>KLIPPAN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46310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11.6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46253</v>
      </c>
      <c r="E252" s="1" t="n">
        <v>46310</v>
      </c>
      <c r="F252" t="inlineStr">
        <is>
          <t>SKÅNE LÄN</t>
        </is>
      </c>
      <c r="G252" t="inlineStr">
        <is>
          <t>KLIPPAN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46310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46310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46310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46310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46310</v>
      </c>
      <c r="F257" t="inlineStr">
        <is>
          <t>SKÅNE LÄN</t>
        </is>
      </c>
      <c r="G257" t="inlineStr">
        <is>
          <t>KLIPPAN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46310</v>
      </c>
      <c r="F258" t="inlineStr">
        <is>
          <t>SKÅNE LÄN</t>
        </is>
      </c>
      <c r="G258" t="inlineStr">
        <is>
          <t>KLIPPAN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46310</v>
      </c>
      <c r="F259" t="inlineStr">
        <is>
          <t>SKÅNE LÄN</t>
        </is>
      </c>
      <c r="G259" t="inlineStr">
        <is>
          <t>KLIPPAN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46310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46310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46310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46309</v>
      </c>
      <c r="E263" s="1" t="n">
        <v>46310</v>
      </c>
      <c r="F263" t="inlineStr">
        <is>
          <t>SKÅNE LÄN</t>
        </is>
      </c>
      <c r="G263" t="inlineStr">
        <is>
          <t>KLIPPAN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46265</v>
      </c>
      <c r="E264" s="1" t="n">
        <v>46310</v>
      </c>
      <c r="F264" t="inlineStr">
        <is>
          <t>SKÅNE LÄN</t>
        </is>
      </c>
      <c r="G264" t="inlineStr">
        <is>
          <t>KLIPPAN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46310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46310</v>
      </c>
      <c r="F266" t="inlineStr">
        <is>
          <t>SKÅNE LÄN</t>
        </is>
      </c>
      <c r="G266" t="inlineStr">
        <is>
          <t>KLIPPAN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46310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46310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46310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46310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46310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46310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46310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46310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46310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46310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46310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46310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46310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2690-2022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46310</v>
      </c>
      <c r="F280" t="inlineStr">
        <is>
          <t>SKÅNE LÄN</t>
        </is>
      </c>
      <c r="G280" t="inlineStr">
        <is>
          <t>KLIPPAN</t>
        </is>
      </c>
      <c r="I280" t="n">
        <v>16.3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46310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46310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46310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46310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46310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46310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46310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46310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46310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46310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46310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46310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2026-10-15T02:00:34Z</dcterms:modified>
</cp:coreProperties>
</file>