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46217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Y2">
        <f>HYPERLINK("https://klasma.github.io/Logging_1276/klagomål/A 2762-2024 FSC-klagomål.docx", "A 2762-2024")</f>
        <v/>
      </c>
      <c r="Z2">
        <f>HYPERLINK("https://klasma.github.io/Logging_1276/klagomålsmail/A 2762-2024 FSC-klagomål mail.docx", "A 2762-2024")</f>
        <v/>
      </c>
      <c r="AA2">
        <f>HYPERLINK("https://klasma.github.io/Logging_1276/tillsyn/A 2762-2024 tillsynsbegäran.docx", "A 2762-2024")</f>
        <v/>
      </c>
      <c r="AB2">
        <f>HYPERLINK("https://klasma.github.io/Logging_1276/tillsynsmail/A 2762-2024 tillsynsbegäran mail.docx", "A 2762-2024")</f>
        <v/>
      </c>
      <c r="AC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46217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Y3">
        <f>HYPERLINK("https://klasma.github.io/Logging_1276/klagomål/A 53614-2025 FSC-klagomål.docx", "A 53614-2025")</f>
        <v/>
      </c>
      <c r="Z3">
        <f>HYPERLINK("https://klasma.github.io/Logging_1276/klagomålsmail/A 53614-2025 FSC-klagomål mail.docx", "A 53614-2025")</f>
        <v/>
      </c>
      <c r="AA3">
        <f>HYPERLINK("https://klasma.github.io/Logging_1276/tillsyn/A 53614-2025 tillsynsbegäran.docx", "A 53614-2025")</f>
        <v/>
      </c>
      <c r="AB3">
        <f>HYPERLINK("https://klasma.github.io/Logging_1276/tillsynsmail/A 53614-2025 tillsynsbegäran mail.docx", "A 53614-2025")</f>
        <v/>
      </c>
      <c r="AC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46217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Y4">
        <f>HYPERLINK("https://klasma.github.io/Logging_1276/klagomål/S 1105-2024 FSC-klagomål.docx", "S 1105-2024")</f>
        <v/>
      </c>
      <c r="Z4">
        <f>HYPERLINK("https://klasma.github.io/Logging_1276/klagomålsmail/S 1105-2024 FSC-klagomål mail.docx", "S 1105-2024")</f>
        <v/>
      </c>
      <c r="AA4">
        <f>HYPERLINK("https://klasma.github.io/Logging_1276/tillsyn/S 1105-2024 tillsynsbegäran.docx", "S 1105-2024")</f>
        <v/>
      </c>
      <c r="AB4">
        <f>HYPERLINK("https://klasma.github.io/Logging_1276/tillsynsmail/S 1105-2024 tillsynsbegäran mail.docx", "S 1105-2024")</f>
        <v/>
      </c>
      <c r="AC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46217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Y5">
        <f>HYPERLINK("https://klasma.github.io/Logging_1276/klagomål/A 15794-2026 FSC-klagomål.docx", "A 15794-2026")</f>
        <v/>
      </c>
      <c r="Z5">
        <f>HYPERLINK("https://klasma.github.io/Logging_1276/klagomålsmail/A 15794-2026 FSC-klagomål mail.docx", "A 15794-2026")</f>
        <v/>
      </c>
      <c r="AA5">
        <f>HYPERLINK("https://klasma.github.io/Logging_1276/tillsyn/A 15794-2026 tillsynsbegäran.docx", "A 15794-2026")</f>
        <v/>
      </c>
      <c r="AB5">
        <f>HYPERLINK("https://klasma.github.io/Logging_1276/tillsynsmail/A 15794-2026 tillsynsbegäran mail.docx", "A 15794-2026")</f>
        <v/>
      </c>
      <c r="AC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46217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Y6">
        <f>HYPERLINK("https://klasma.github.io/Logging_1276/klagomål/A 28917-2026 FSC-klagomål.docx", "A 28917-2026")</f>
        <v/>
      </c>
      <c r="Z6">
        <f>HYPERLINK("https://klasma.github.io/Logging_1276/klagomålsmail/A 28917-2026 FSC-klagomål mail.docx", "A 28917-2026")</f>
        <v/>
      </c>
      <c r="AA6">
        <f>HYPERLINK("https://klasma.github.io/Logging_1276/tillsyn/A 28917-2026 tillsynsbegäran.docx", "A 28917-2026")</f>
        <v/>
      </c>
      <c r="AB6">
        <f>HYPERLINK("https://klasma.github.io/Logging_1276/tillsynsmail/A 28917-2026 tillsynsbegäran mail.docx", "A 28917-2026")</f>
        <v/>
      </c>
      <c r="AC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46217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s="2" t="inlineStr">
        <is>
          <t>Grönsiska
Röd glada
Större vattensalamander
Trana
Vanlig padda</t>
        </is>
      </c>
      <c r="V7">
        <f>HYPERLINK("https://klasma.github.io/Logging_1276/artfynd/A 37966-2024 artfynd.xlsx", "A 37966-2024")</f>
        <v/>
      </c>
      <c r="W7">
        <f>HYPERLINK("https://klasma.github.io/Logging_1276/kartor/A 37966-2024 karta.png", "A 37966-2024")</f>
        <v/>
      </c>
      <c r="Y7">
        <f>HYPERLINK("https://klasma.github.io/Logging_1276/klagomål/A 37966-2024 FSC-klagomål.docx", "A 37966-2024")</f>
        <v/>
      </c>
      <c r="Z7">
        <f>HYPERLINK("https://klasma.github.io/Logging_1276/klagomålsmail/A 37966-2024 FSC-klagomål mail.docx", "A 37966-2024")</f>
        <v/>
      </c>
      <c r="AA7">
        <f>HYPERLINK("https://klasma.github.io/Logging_1276/tillsyn/A 37966-2024 tillsynsbegäran.docx", "A 37966-2024")</f>
        <v/>
      </c>
      <c r="AB7">
        <f>HYPERLINK("https://klasma.github.io/Logging_1276/tillsynsmail/A 37966-2024 tillsynsbegäran mail.docx", "A 37966-2024")</f>
        <v/>
      </c>
      <c r="AC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46217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s="2" t="inlineStr">
        <is>
          <t>Entita
Gulsparv
Rödvingetrast
Spillkråka
Skogsduva</t>
        </is>
      </c>
      <c r="V8">
        <f>HYPERLINK("https://klasma.github.io/Logging_1276/artfynd/A 15788-2026 artfynd.xlsx", "A 15788-2026")</f>
        <v/>
      </c>
      <c r="W8">
        <f>HYPERLINK("https://klasma.github.io/Logging_1276/kartor/A 15788-2026 karta.png", "A 15788-2026")</f>
        <v/>
      </c>
      <c r="Y8">
        <f>HYPERLINK("https://klasma.github.io/Logging_1276/klagomål/A 15788-2026 FSC-klagomål.docx", "A 15788-2026")</f>
        <v/>
      </c>
      <c r="Z8">
        <f>HYPERLINK("https://klasma.github.io/Logging_1276/klagomålsmail/A 15788-2026 FSC-klagomål mail.docx", "A 15788-2026")</f>
        <v/>
      </c>
      <c r="AA8">
        <f>HYPERLINK("https://klasma.github.io/Logging_1276/tillsyn/A 15788-2026 tillsynsbegäran.docx", "A 15788-2026")</f>
        <v/>
      </c>
      <c r="AB8">
        <f>HYPERLINK("https://klasma.github.io/Logging_1276/tillsynsmail/A 15788-2026 tillsynsbegäran mail.docx", "A 15788-2026")</f>
        <v/>
      </c>
      <c r="AC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46217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Y9">
        <f>HYPERLINK("https://klasma.github.io/Logging_1276/klagomål/S 221-2023 FSC-klagomål.docx", "S 221-2023")</f>
        <v/>
      </c>
      <c r="Z9">
        <f>HYPERLINK("https://klasma.github.io/Logging_1276/klagomålsmail/S 221-2023 FSC-klagomål mail.docx", "S 221-2023")</f>
        <v/>
      </c>
      <c r="AA9">
        <f>HYPERLINK("https://klasma.github.io/Logging_1276/tillsyn/S 221-2023 tillsynsbegäran.docx", "S 221-2023")</f>
        <v/>
      </c>
      <c r="AB9">
        <f>HYPERLINK("https://klasma.github.io/Logging_1276/tillsynsmail/S 221-2023 tillsynsbegäran mail.docx", "S 221-2023")</f>
        <v/>
      </c>
      <c r="AC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46217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Y10">
        <f>HYPERLINK("https://klasma.github.io/Logging_1276/klagomål/A 42004-2025 FSC-klagomål.docx", "A 42004-2025")</f>
        <v/>
      </c>
      <c r="Z10">
        <f>HYPERLINK("https://klasma.github.io/Logging_1276/klagomålsmail/A 42004-2025 FSC-klagomål mail.docx", "A 42004-2025")</f>
        <v/>
      </c>
      <c r="AA10">
        <f>HYPERLINK("https://klasma.github.io/Logging_1276/tillsyn/A 42004-2025 tillsynsbegäran.docx", "A 42004-2025")</f>
        <v/>
      </c>
      <c r="AB10">
        <f>HYPERLINK("https://klasma.github.io/Logging_1276/tillsynsmail/A 42004-2025 tillsynsbegäran mail.docx", "A 42004-2025")</f>
        <v/>
      </c>
      <c r="AC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46217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Entita
Grönsiska
Kungsfågel</t>
        </is>
      </c>
      <c r="V11">
        <f>HYPERLINK("https://klasma.github.io/Logging_1276/artfynd/A 50089-2023 artfynd.xlsx", "A 50089-2023")</f>
        <v/>
      </c>
      <c r="W11">
        <f>HYPERLINK("https://klasma.github.io/Logging_1276/kartor/A 50089-2023 karta.png", "A 50089-2023")</f>
        <v/>
      </c>
      <c r="Y11">
        <f>HYPERLINK("https://klasma.github.io/Logging_1276/klagomål/A 50089-2023 FSC-klagomål.docx", "A 50089-2023")</f>
        <v/>
      </c>
      <c r="Z11">
        <f>HYPERLINK("https://klasma.github.io/Logging_1276/klagomålsmail/A 50089-2023 FSC-klagomål mail.docx", "A 50089-2023")</f>
        <v/>
      </c>
      <c r="AA11">
        <f>HYPERLINK("https://klasma.github.io/Logging_1276/tillsyn/A 50089-2023 tillsynsbegäran.docx", "A 50089-2023")</f>
        <v/>
      </c>
      <c r="AB11">
        <f>HYPERLINK("https://klasma.github.io/Logging_1276/tillsynsmail/A 50089-2023 tillsynsbegäran mail.docx", "A 50089-2023")</f>
        <v/>
      </c>
      <c r="AC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46217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Havstulpanlav
Spillkråka
Skogsduva</t>
        </is>
      </c>
      <c r="V12">
        <f>HYPERLINK("https://klasma.github.io/Logging_1276/artfynd/A 54644-2023 artfynd.xlsx", "A 54644-2023")</f>
        <v/>
      </c>
      <c r="W12">
        <f>HYPERLINK("https://klasma.github.io/Logging_1276/kartor/A 54644-2023 karta.png", "A 54644-2023")</f>
        <v/>
      </c>
      <c r="Y12">
        <f>HYPERLINK("https://klasma.github.io/Logging_1276/klagomål/A 54644-2023 FSC-klagomål.docx", "A 54644-2023")</f>
        <v/>
      </c>
      <c r="Z12">
        <f>HYPERLINK("https://klasma.github.io/Logging_1276/klagomålsmail/A 54644-2023 FSC-klagomål mail.docx", "A 54644-2023")</f>
        <v/>
      </c>
      <c r="AA12">
        <f>HYPERLINK("https://klasma.github.io/Logging_1276/tillsyn/A 54644-2023 tillsynsbegäran.docx", "A 54644-2023")</f>
        <v/>
      </c>
      <c r="AB12">
        <f>HYPERLINK("https://klasma.github.io/Logging_1276/tillsynsmail/A 54644-2023 tillsynsbegäran mail.docx", "A 54644-2023")</f>
        <v/>
      </c>
      <c r="AC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46217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Entita
Gulsparv
Grönvit nattviol</t>
        </is>
      </c>
      <c r="V13">
        <f>HYPERLINK("https://klasma.github.io/Logging_1276/artfynd/A 53878-2022 artfynd.xlsx", "A 53878-2022")</f>
        <v/>
      </c>
      <c r="W13">
        <f>HYPERLINK("https://klasma.github.io/Logging_1276/kartor/A 53878-2022 karta.png", "A 53878-2022")</f>
        <v/>
      </c>
      <c r="Y13">
        <f>HYPERLINK("https://klasma.github.io/Logging_1276/klagomål/A 53878-2022 FSC-klagomål.docx", "A 53878-2022")</f>
        <v/>
      </c>
      <c r="Z13">
        <f>HYPERLINK("https://klasma.github.io/Logging_1276/klagomålsmail/A 53878-2022 FSC-klagomål mail.docx", "A 53878-2022")</f>
        <v/>
      </c>
      <c r="AA13">
        <f>HYPERLINK("https://klasma.github.io/Logging_1276/tillsyn/A 53878-2022 tillsynsbegäran.docx", "A 53878-2022")</f>
        <v/>
      </c>
      <c r="AB13">
        <f>HYPERLINK("https://klasma.github.io/Logging_1276/tillsynsmail/A 53878-2022 tillsynsbegäran mail.docx", "A 53878-2022")</f>
        <v/>
      </c>
      <c r="AC13">
        <f>HYPERLINK("https://klasma.github.io/Logging_1276/fåglar/A 53878-2022 prioriterade fågelarter.docx", "A 53878-2022")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46217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Enkelbeckasin
Entita
Gröngöling</t>
        </is>
      </c>
      <c r="V14">
        <f>HYPERLINK("https://klasma.github.io/Logging_1276/artfynd/A 6890-2026 artfynd.xlsx", "A 6890-2026")</f>
        <v/>
      </c>
      <c r="W14">
        <f>HYPERLINK("https://klasma.github.io/Logging_1276/kartor/A 6890-2026 karta.png", "A 6890-2026")</f>
        <v/>
      </c>
      <c r="Y14">
        <f>HYPERLINK("https://klasma.github.io/Logging_1276/klagomål/A 6890-2026 FSC-klagomål.docx", "A 6890-2026")</f>
        <v/>
      </c>
      <c r="Z14">
        <f>HYPERLINK("https://klasma.github.io/Logging_1276/klagomålsmail/A 6890-2026 FSC-klagomål mail.docx", "A 6890-2026")</f>
        <v/>
      </c>
      <c r="AA14">
        <f>HYPERLINK("https://klasma.github.io/Logging_1276/tillsyn/A 6890-2026 tillsynsbegäran.docx", "A 6890-2026")</f>
        <v/>
      </c>
      <c r="AB14">
        <f>HYPERLINK("https://klasma.github.io/Logging_1276/tillsynsmail/A 6890-2026 tillsynsbegäran mail.docx", "A 6890-2026")</f>
        <v/>
      </c>
      <c r="AC14">
        <f>HYPERLINK("https://klasma.github.io/Logging_1276/fåglar/A 6890-2026 prioriterade fågelarter.docx", "A 6890-2026")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46217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s="2" t="inlineStr">
        <is>
          <t>Entita
Mindre hackspett
Stjärtmes</t>
        </is>
      </c>
      <c r="V15">
        <f>HYPERLINK("https://klasma.github.io/Logging_1276/artfynd/A 2839-2026 artfynd.xlsx", "A 2839-2026")</f>
        <v/>
      </c>
      <c r="W15">
        <f>HYPERLINK("https://klasma.github.io/Logging_1276/kartor/A 2839-2026 karta.png", "A 2839-2026")</f>
        <v/>
      </c>
      <c r="Y15">
        <f>HYPERLINK("https://klasma.github.io/Logging_1276/klagomål/A 2839-2026 FSC-klagomål.docx", "A 2839-2026")</f>
        <v/>
      </c>
      <c r="Z15">
        <f>HYPERLINK("https://klasma.github.io/Logging_1276/klagomålsmail/A 2839-2026 FSC-klagomål mail.docx", "A 2839-2026")</f>
        <v/>
      </c>
      <c r="AA15">
        <f>HYPERLINK("https://klasma.github.io/Logging_1276/tillsyn/A 2839-2026 tillsynsbegäran.docx", "A 2839-2026")</f>
        <v/>
      </c>
      <c r="AB15">
        <f>HYPERLINK("https://klasma.github.io/Logging_1276/tillsynsmail/A 2839-2026 tillsynsbegäran mail.docx", "A 2839-2026")</f>
        <v/>
      </c>
      <c r="AC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46217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Blåmossa
Spillkråka
Kungsfågel</t>
        </is>
      </c>
      <c r="V16">
        <f>HYPERLINK("https://klasma.github.io/Logging_1276/artfynd/A 45242-2025 artfynd.xlsx", "A 45242-2025")</f>
        <v/>
      </c>
      <c r="W16">
        <f>HYPERLINK("https://klasma.github.io/Logging_1276/kartor/A 45242-2025 karta.png", "A 45242-2025")</f>
        <v/>
      </c>
      <c r="Y16">
        <f>HYPERLINK("https://klasma.github.io/Logging_1276/klagomål/A 45242-2025 FSC-klagomål.docx", "A 45242-2025")</f>
        <v/>
      </c>
      <c r="Z16">
        <f>HYPERLINK("https://klasma.github.io/Logging_1276/klagomålsmail/A 45242-2025 FSC-klagomål mail.docx", "A 45242-2025")</f>
        <v/>
      </c>
      <c r="AA16">
        <f>HYPERLINK("https://klasma.github.io/Logging_1276/tillsyn/A 45242-2025 tillsynsbegäran.docx", "A 45242-2025")</f>
        <v/>
      </c>
      <c r="AB16">
        <f>HYPERLINK("https://klasma.github.io/Logging_1276/tillsynsmail/A 45242-2025 tillsynsbegäran mail.docx", "A 45242-2025")</f>
        <v/>
      </c>
      <c r="AC16">
        <f>HYPERLINK("https://klasma.github.io/Logging_1276/fåglar/A 45242-2025 prioriterade fågelarter.docx", "A 45242-2025")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46217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Rostfläck
Västlig hakmossa
Spillkråka</t>
        </is>
      </c>
      <c r="V17">
        <f>HYPERLINK("https://klasma.github.io/Logging_1276/artfynd/A 46256-2024 artfynd.xlsx", "A 46256-2024")</f>
        <v/>
      </c>
      <c r="W17">
        <f>HYPERLINK("https://klasma.github.io/Logging_1276/kartor/A 46256-2024 karta.png", "A 46256-2024")</f>
        <v/>
      </c>
      <c r="Y17">
        <f>HYPERLINK("https://klasma.github.io/Logging_1276/klagomål/A 46256-2024 FSC-klagomål.docx", "A 46256-2024")</f>
        <v/>
      </c>
      <c r="Z17">
        <f>HYPERLINK("https://klasma.github.io/Logging_1276/klagomålsmail/A 46256-2024 FSC-klagomål mail.docx", "A 46256-2024")</f>
        <v/>
      </c>
      <c r="AA17">
        <f>HYPERLINK("https://klasma.github.io/Logging_1276/tillsyn/A 46256-2024 tillsynsbegäran.docx", "A 46256-2024")</f>
        <v/>
      </c>
      <c r="AB17">
        <f>HYPERLINK("https://klasma.github.io/Logging_1276/tillsynsmail/A 46256-2024 tillsynsbegäran mail.docx", "A 46256-2024")</f>
        <v/>
      </c>
      <c r="AC17">
        <f>HYPERLINK("https://klasma.github.io/Logging_1276/fåglar/A 46256-2024 prioriterade fågelarter.docx", "A 46256-2024")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46217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Y18">
        <f>HYPERLINK("https://klasma.github.io/Logging_1276/klagomål/S 5972-2022 FSC-klagomål.docx", "S 5972-2022")</f>
        <v/>
      </c>
      <c r="Z18">
        <f>HYPERLINK("https://klasma.github.io/Logging_1276/klagomålsmail/S 5972-2022 FSC-klagomål mail.docx", "S 5972-2022")</f>
        <v/>
      </c>
      <c r="AA18">
        <f>HYPERLINK("https://klasma.github.io/Logging_1276/tillsyn/S 5972-2022 tillsynsbegäran.docx", "S 5972-2022")</f>
        <v/>
      </c>
      <c r="AB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46217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Y19">
        <f>HYPERLINK("https://klasma.github.io/Logging_1276/klagomål/A 19094-2022 FSC-klagomål.docx", "A 19094-2022")</f>
        <v/>
      </c>
      <c r="Z19">
        <f>HYPERLINK("https://klasma.github.io/Logging_1276/klagomålsmail/A 19094-2022 FSC-klagomål mail.docx", "A 19094-2022")</f>
        <v/>
      </c>
      <c r="AA19">
        <f>HYPERLINK("https://klasma.github.io/Logging_1276/tillsyn/A 19094-2022 tillsynsbegäran.docx", "A 19094-2022")</f>
        <v/>
      </c>
      <c r="AB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46217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Y20">
        <f>HYPERLINK("https://klasma.github.io/Logging_1276/klagomål/A 5732-2022 FSC-klagomål.docx", "A 5732-2022")</f>
        <v/>
      </c>
      <c r="Z20">
        <f>HYPERLINK("https://klasma.github.io/Logging_1276/klagomålsmail/A 5732-2022 FSC-klagomål mail.docx", "A 5732-2022")</f>
        <v/>
      </c>
      <c r="AA20">
        <f>HYPERLINK("https://klasma.github.io/Logging_1276/tillsyn/A 5732-2022 tillsynsbegäran.docx", "A 5732-2022")</f>
        <v/>
      </c>
      <c r="AB20">
        <f>HYPERLINK("https://klasma.github.io/Logging_1276/tillsynsmail/A 5732-2022 tillsynsbegäran mail.docx", "A 5732-2022")</f>
        <v/>
      </c>
      <c r="AC20">
        <f>HYPERLINK("https://klasma.github.io/Logging_1276/fåglar/A 5732-2022 prioriterade fågelarter.docx", "A 5732-2022")</f>
        <v/>
      </c>
    </row>
    <row r="21" ht="15" customHeight="1">
      <c r="A21" t="inlineStr">
        <is>
          <t>A 44567-2025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45917</v>
      </c>
      <c r="E21" s="1" t="n">
        <v>46217</v>
      </c>
      <c r="F21" t="inlineStr">
        <is>
          <t>SKÅNE LÄN</t>
        </is>
      </c>
      <c r="G21" t="inlineStr">
        <is>
          <t>KLIPPAN</t>
        </is>
      </c>
      <c r="I21" t="n">
        <v>17.3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Grönsiska
Kråka</t>
        </is>
      </c>
      <c r="V21">
        <f>HYPERLINK("https://klasma.github.io/Logging_1276/artfynd/A 44567-2025 artfynd.xlsx", "A 44567-2025")</f>
        <v/>
      </c>
      <c r="W21">
        <f>HYPERLINK("https://klasma.github.io/Logging_1276/kartor/A 44567-2025 karta.png", "A 44567-2025")</f>
        <v/>
      </c>
      <c r="Y21">
        <f>HYPERLINK("https://klasma.github.io/Logging_1276/klagomål/A 44567-2025 FSC-klagomål.docx", "A 44567-2025")</f>
        <v/>
      </c>
      <c r="Z21">
        <f>HYPERLINK("https://klasma.github.io/Logging_1276/klagomålsmail/A 44567-2025 FSC-klagomål mail.docx", "A 44567-2025")</f>
        <v/>
      </c>
      <c r="AA21">
        <f>HYPERLINK("https://klasma.github.io/Logging_1276/tillsyn/A 44567-2025 tillsynsbegäran.docx", "A 44567-2025")</f>
        <v/>
      </c>
      <c r="AB21">
        <f>HYPERLINK("https://klasma.github.io/Logging_1276/tillsynsmail/A 44567-2025 tillsynsbegäran mail.docx", "A 44567-2025")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46217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s="2" t="inlineStr">
        <is>
          <t>Entita
Kungsfågel</t>
        </is>
      </c>
      <c r="V22">
        <f>HYPERLINK("https://klasma.github.io/Logging_1276/artfynd/A 59769-2025 artfynd.xlsx", "A 59769-2025")</f>
        <v/>
      </c>
      <c r="W22">
        <f>HYPERLINK("https://klasma.github.io/Logging_1276/kartor/A 59769-2025 karta.png", "A 59769-2025")</f>
        <v/>
      </c>
      <c r="Y22">
        <f>HYPERLINK("https://klasma.github.io/Logging_1276/klagomål/A 59769-2025 FSC-klagomål.docx", "A 59769-2025")</f>
        <v/>
      </c>
      <c r="Z22">
        <f>HYPERLINK("https://klasma.github.io/Logging_1276/klagomålsmail/A 59769-2025 FSC-klagomål mail.docx", "A 59769-2025")</f>
        <v/>
      </c>
      <c r="AA22">
        <f>HYPERLINK("https://klasma.github.io/Logging_1276/tillsyn/A 59769-2025 tillsynsbegäran.docx", "A 59769-2025")</f>
        <v/>
      </c>
      <c r="AB22">
        <f>HYPERLINK("https://klasma.github.io/Logging_1276/tillsynsmail/A 59769-2025 tillsynsbegäran mail.docx", "A 59769-2025")</f>
        <v/>
      </c>
      <c r="AC22">
        <f>HYPERLINK("https://klasma.github.io/Logging_1276/fåglar/A 59769-2025 prioriterade fågelarter.docx", "A 59769-2025")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46217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Talltita
Vanlig groda</t>
        </is>
      </c>
      <c r="V23">
        <f>HYPERLINK("https://klasma.github.io/Logging_1276/artfynd/A 11673-2022 artfynd.xlsx", "A 11673-2022")</f>
        <v/>
      </c>
      <c r="W23">
        <f>HYPERLINK("https://klasma.github.io/Logging_1276/kartor/A 11673-2022 karta.png", "A 11673-2022")</f>
        <v/>
      </c>
      <c r="Y23">
        <f>HYPERLINK("https://klasma.github.io/Logging_1276/klagomål/A 11673-2022 FSC-klagomål.docx", "A 11673-2022")</f>
        <v/>
      </c>
      <c r="Z23">
        <f>HYPERLINK("https://klasma.github.io/Logging_1276/klagomålsmail/A 11673-2022 FSC-klagomål mail.docx", "A 11673-2022")</f>
        <v/>
      </c>
      <c r="AA23">
        <f>HYPERLINK("https://klasma.github.io/Logging_1276/tillsyn/A 11673-2022 tillsynsbegäran.docx", "A 11673-2022")</f>
        <v/>
      </c>
      <c r="AB23">
        <f>HYPERLINK("https://klasma.github.io/Logging_1276/tillsynsmail/A 11673-2022 tillsynsbegäran mail.docx", "A 11673-2022")</f>
        <v/>
      </c>
      <c r="AC23">
        <f>HYPERLINK("https://klasma.github.io/Logging_1276/fåglar/A 11673-2022 prioriterade fågelarter.docx", "A 11673-2022")</f>
        <v/>
      </c>
    </row>
    <row r="24" ht="15" customHeight="1">
      <c r="A24" t="inlineStr">
        <is>
          <t>A 29275-2026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46217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5.7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Mindre hackspett
Blemlavsklotter</t>
        </is>
      </c>
      <c r="V24">
        <f>HYPERLINK("https://klasma.github.io/Logging_1276/artfynd/A 29275-2026 artfynd.xlsx", "A 29275-2026")</f>
        <v/>
      </c>
      <c r="W24">
        <f>HYPERLINK("https://klasma.github.io/Logging_1276/kartor/A 29275-2026 karta.png", "A 29275-2026")</f>
        <v/>
      </c>
      <c r="Y24">
        <f>HYPERLINK("https://klasma.github.io/Logging_1276/klagomål/A 29275-2026 FSC-klagomål.docx", "A 29275-2026")</f>
        <v/>
      </c>
      <c r="Z24">
        <f>HYPERLINK("https://klasma.github.io/Logging_1276/klagomålsmail/A 29275-2026 FSC-klagomål mail.docx", "A 29275-2026")</f>
        <v/>
      </c>
      <c r="AA24">
        <f>HYPERLINK("https://klasma.github.io/Logging_1276/tillsyn/A 29275-2026 tillsynsbegäran.docx", "A 29275-2026")</f>
        <v/>
      </c>
      <c r="AB24">
        <f>HYPERLINK("https://klasma.github.io/Logging_1276/tillsynsmail/A 29275-2026 tillsynsbegäran mail.docx", "A 29275-2026")</f>
        <v/>
      </c>
      <c r="AC24">
        <f>HYPERLINK("https://klasma.github.io/Logging_1276/fåglar/A 29275-2026 prioriterade fågelarter.docx", "A 29275-2026")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46217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Svinrot
Grönvit nattviol</t>
        </is>
      </c>
      <c r="V25">
        <f>HYPERLINK("https://klasma.github.io/Logging_1276/artfynd/A 20702-2023 artfynd.xlsx", "A 20702-2023")</f>
        <v/>
      </c>
      <c r="W25">
        <f>HYPERLINK("https://klasma.github.io/Logging_1276/kartor/A 20702-2023 karta.png", "A 20702-2023")</f>
        <v/>
      </c>
      <c r="Y25">
        <f>HYPERLINK("https://klasma.github.io/Logging_1276/klagomål/A 20702-2023 FSC-klagomål.docx", "A 20702-2023")</f>
        <v/>
      </c>
      <c r="Z25">
        <f>HYPERLINK("https://klasma.github.io/Logging_1276/klagomålsmail/A 20702-2023 FSC-klagomål mail.docx", "A 20702-2023")</f>
        <v/>
      </c>
      <c r="AA25">
        <f>HYPERLINK("https://klasma.github.io/Logging_1276/tillsyn/A 20702-2023 tillsynsbegäran.docx", "A 20702-2023")</f>
        <v/>
      </c>
      <c r="AB25">
        <f>HYPERLINK("https://klasma.github.io/Logging_1276/tillsynsmail/A 20702-2023 tillsynsbegäran mail.docx", "A 20702-2023")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46217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Entita
Gröngöling</t>
        </is>
      </c>
      <c r="V26">
        <f>HYPERLINK("https://klasma.github.io/Logging_1276/artfynd/A 5797-2024 artfynd.xlsx", "A 5797-2024")</f>
        <v/>
      </c>
      <c r="W26">
        <f>HYPERLINK("https://klasma.github.io/Logging_1276/kartor/A 5797-2024 karta.png", "A 5797-2024")</f>
        <v/>
      </c>
      <c r="Y26">
        <f>HYPERLINK("https://klasma.github.io/Logging_1276/klagomål/A 5797-2024 FSC-klagomål.docx", "A 5797-2024")</f>
        <v/>
      </c>
      <c r="Z26">
        <f>HYPERLINK("https://klasma.github.io/Logging_1276/klagomålsmail/A 5797-2024 FSC-klagomål mail.docx", "A 5797-2024")</f>
        <v/>
      </c>
      <c r="AA26">
        <f>HYPERLINK("https://klasma.github.io/Logging_1276/tillsyn/A 5797-2024 tillsynsbegäran.docx", "A 5797-2024")</f>
        <v/>
      </c>
      <c r="AB26">
        <f>HYPERLINK("https://klasma.github.io/Logging_1276/tillsynsmail/A 5797-2024 tillsynsbegäran mail.docx", "A 5797-2024")</f>
        <v/>
      </c>
      <c r="AC26">
        <f>HYPERLINK("https://klasma.github.io/Logging_1276/fåglar/A 5797-2024 prioriterade fågelarter.docx", "A 5797-2024")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46217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Y27">
        <f>HYPERLINK("https://klasma.github.io/Logging_1276/klagomål/S 977-2023 FSC-klagomål.docx", "S 977-2023")</f>
        <v/>
      </c>
      <c r="Z27">
        <f>HYPERLINK("https://klasma.github.io/Logging_1276/klagomålsmail/S 977-2023 FSC-klagomål mail.docx", "S 977-2023")</f>
        <v/>
      </c>
      <c r="AA27">
        <f>HYPERLINK("https://klasma.github.io/Logging_1276/tillsyn/S 977-2023 tillsynsbegäran.docx", "S 977-2023")</f>
        <v/>
      </c>
      <c r="AB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46217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Y28">
        <f>HYPERLINK("https://klasma.github.io/Logging_1276/klagomål/S 4007-2022 FSC-klagomål.docx", "S 4007-2022")</f>
        <v/>
      </c>
      <c r="Z28">
        <f>HYPERLINK("https://klasma.github.io/Logging_1276/klagomålsmail/S 4007-2022 FSC-klagomål mail.docx", "S 4007-2022")</f>
        <v/>
      </c>
      <c r="AA28">
        <f>HYPERLINK("https://klasma.github.io/Logging_1276/tillsyn/S 4007-2022 tillsynsbegäran.docx", "S 4007-2022")</f>
        <v/>
      </c>
      <c r="AB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46217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Y29">
        <f>HYPERLINK("https://klasma.github.io/Logging_1276/klagomål/S 47-2026 FSC-klagomål.docx", "S 47-2026")</f>
        <v/>
      </c>
      <c r="Z29">
        <f>HYPERLINK("https://klasma.github.io/Logging_1276/klagomålsmail/S 47-2026 FSC-klagomål mail.docx", "S 47-2026")</f>
        <v/>
      </c>
      <c r="AA29">
        <f>HYPERLINK("https://klasma.github.io/Logging_1276/tillsyn/S 47-2026 tillsynsbegäran.docx", "S 47-2026")</f>
        <v/>
      </c>
      <c r="AB29">
        <f>HYPERLINK("https://klasma.github.io/Logging_1276/tillsynsmail/S 47-2026 tillsynsbegäran mail.docx", "S 47-2026")</f>
        <v/>
      </c>
    </row>
    <row r="30" ht="15" customHeight="1">
      <c r="A30" t="inlineStr">
        <is>
          <t>A 44885-2022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44841</v>
      </c>
      <c r="E30" s="1" t="n">
        <v>46217</v>
      </c>
      <c r="F30" t="inlineStr">
        <is>
          <t>SKÅNE LÄN</t>
        </is>
      </c>
      <c r="G30" t="inlineStr">
        <is>
          <t>KLIPPAN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Blåmossa</t>
        </is>
      </c>
      <c r="V30">
        <f>HYPERLINK("https://klasma.github.io/Logging_1276/artfynd/A 44885-2022 artfynd.xlsx", "A 44885-2022")</f>
        <v/>
      </c>
      <c r="W30">
        <f>HYPERLINK("https://klasma.github.io/Logging_1276/kartor/A 44885-2022 karta.png", "A 44885-2022")</f>
        <v/>
      </c>
      <c r="Y30">
        <f>HYPERLINK("https://klasma.github.io/Logging_1276/klagomål/A 44885-2022 FSC-klagomål.docx", "A 44885-2022")</f>
        <v/>
      </c>
      <c r="Z30">
        <f>HYPERLINK("https://klasma.github.io/Logging_1276/klagomålsmail/A 44885-2022 FSC-klagomål mail.docx", "A 44885-2022")</f>
        <v/>
      </c>
      <c r="AA30">
        <f>HYPERLINK("https://klasma.github.io/Logging_1276/tillsyn/A 44885-2022 tillsynsbegäran.docx", "A 44885-2022")</f>
        <v/>
      </c>
      <c r="AB30">
        <f>HYPERLINK("https://klasma.github.io/Logging_1276/tillsynsmail/A 44885-2022 tillsynsbegäran mail.docx", "A 44885-2022")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46217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HYPERLINK("https://klasma.github.io/Logging_1276/artfynd/A 15810-2024 artfynd.xlsx", "A 15810-2024")</f>
        <v/>
      </c>
      <c r="W31">
        <f>HYPERLINK("https://klasma.github.io/Logging_1276/kartor/A 15810-2024 karta.png", "A 15810-2024")</f>
        <v/>
      </c>
      <c r="Y31">
        <f>HYPERLINK("https://klasma.github.io/Logging_1276/klagomål/A 15810-2024 FSC-klagomål.docx", "A 15810-2024")</f>
        <v/>
      </c>
      <c r="Z31">
        <f>HYPERLINK("https://klasma.github.io/Logging_1276/klagomålsmail/A 15810-2024 FSC-klagomål mail.docx", "A 15810-2024")</f>
        <v/>
      </c>
      <c r="AA31">
        <f>HYPERLINK("https://klasma.github.io/Logging_1276/tillsyn/A 15810-2024 tillsynsbegäran.docx", "A 15810-2024")</f>
        <v/>
      </c>
      <c r="AB31">
        <f>HYPERLINK("https://klasma.github.io/Logging_1276/tillsynsmail/A 15810-2024 tillsynsbegäran mail.docx", "A 15810-2024")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46217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Mindre hackspett</t>
        </is>
      </c>
      <c r="V32">
        <f>HYPERLINK("https://klasma.github.io/Logging_1276/artfynd/A 14892-2023 artfynd.xlsx", "A 14892-2023")</f>
        <v/>
      </c>
      <c r="W32">
        <f>HYPERLINK("https://klasma.github.io/Logging_1276/kartor/A 14892-2023 karta.png", "A 14892-2023")</f>
        <v/>
      </c>
      <c r="Y32">
        <f>HYPERLINK("https://klasma.github.io/Logging_1276/klagomål/A 14892-2023 FSC-klagomål.docx", "A 14892-2023")</f>
        <v/>
      </c>
      <c r="Z32">
        <f>HYPERLINK("https://klasma.github.io/Logging_1276/klagomålsmail/A 14892-2023 FSC-klagomål mail.docx", "A 14892-2023")</f>
        <v/>
      </c>
      <c r="AA32">
        <f>HYPERLINK("https://klasma.github.io/Logging_1276/tillsyn/A 14892-2023 tillsynsbegäran.docx", "A 14892-2023")</f>
        <v/>
      </c>
      <c r="AB32">
        <f>HYPERLINK("https://klasma.github.io/Logging_1276/tillsynsmail/A 14892-2023 tillsynsbegäran mail.docx", "A 14892-2023")</f>
        <v/>
      </c>
      <c r="AC32">
        <f>HYPERLINK("https://klasma.github.io/Logging_1276/fåglar/A 14892-2023 prioriterade fågelarter.docx", "A 14892-2023")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46217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HYPERLINK("https://klasma.github.io/Logging_1276/artfynd/A 61049-2025 artfynd.xlsx", "A 61049-2025")</f>
        <v/>
      </c>
      <c r="W33">
        <f>HYPERLINK("https://klasma.github.io/Logging_1276/kartor/A 61049-2025 karta.png", "A 61049-2025")</f>
        <v/>
      </c>
      <c r="Y33">
        <f>HYPERLINK("https://klasma.github.io/Logging_1276/klagomål/A 61049-2025 FSC-klagomål.docx", "A 61049-2025")</f>
        <v/>
      </c>
      <c r="Z33">
        <f>HYPERLINK("https://klasma.github.io/Logging_1276/klagomålsmail/A 61049-2025 FSC-klagomål mail.docx", "A 61049-2025")</f>
        <v/>
      </c>
      <c r="AA33">
        <f>HYPERLINK("https://klasma.github.io/Logging_1276/tillsyn/A 61049-2025 tillsynsbegäran.docx", "A 61049-2025")</f>
        <v/>
      </c>
      <c r="AB33">
        <f>HYPERLINK("https://klasma.github.io/Logging_1276/tillsynsmail/A 61049-2025 tillsynsbegäran mail.docx", "A 61049-2025")</f>
        <v/>
      </c>
      <c r="AC33">
        <f>HYPERLINK("https://klasma.github.io/Logging_1276/fåglar/A 61049-2025 prioriterade fågelarter.docx", "A 61049-2025")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46217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Kungsfågel</t>
        </is>
      </c>
      <c r="V34">
        <f>HYPERLINK("https://klasma.github.io/Logging_1276/artfynd/A 61058-2025 artfynd.xlsx", "A 61058-2025")</f>
        <v/>
      </c>
      <c r="W34">
        <f>HYPERLINK("https://klasma.github.io/Logging_1276/kartor/A 61058-2025 karta.png", "A 61058-2025")</f>
        <v/>
      </c>
      <c r="Y34">
        <f>HYPERLINK("https://klasma.github.io/Logging_1276/klagomål/A 61058-2025 FSC-klagomål.docx", "A 61058-2025")</f>
        <v/>
      </c>
      <c r="Z34">
        <f>HYPERLINK("https://klasma.github.io/Logging_1276/klagomålsmail/A 61058-2025 FSC-klagomål mail.docx", "A 61058-2025")</f>
        <v/>
      </c>
      <c r="AA34">
        <f>HYPERLINK("https://klasma.github.io/Logging_1276/tillsyn/A 61058-2025 tillsynsbegäran.docx", "A 61058-2025")</f>
        <v/>
      </c>
      <c r="AB34">
        <f>HYPERLINK("https://klasma.github.io/Logging_1276/tillsynsmail/A 61058-2025 tillsynsbegäran mail.docx", "A 61058-2025")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46217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Västlig hakmossa</t>
        </is>
      </c>
      <c r="V35">
        <f>HYPERLINK("https://klasma.github.io/Logging_1276/artfynd/A 46147-2022 artfynd.xlsx", "A 46147-2022")</f>
        <v/>
      </c>
      <c r="W35">
        <f>HYPERLINK("https://klasma.github.io/Logging_1276/kartor/A 46147-2022 karta.png", "A 46147-2022")</f>
        <v/>
      </c>
      <c r="Y35">
        <f>HYPERLINK("https://klasma.github.io/Logging_1276/klagomål/A 46147-2022 FSC-klagomål.docx", "A 46147-2022")</f>
        <v/>
      </c>
      <c r="Z35">
        <f>HYPERLINK("https://klasma.github.io/Logging_1276/klagomålsmail/A 46147-2022 FSC-klagomål mail.docx", "A 46147-2022")</f>
        <v/>
      </c>
      <c r="AA35">
        <f>HYPERLINK("https://klasma.github.io/Logging_1276/tillsyn/A 46147-2022 tillsynsbegäran.docx", "A 46147-2022")</f>
        <v/>
      </c>
      <c r="AB35">
        <f>HYPERLINK("https://klasma.github.io/Logging_1276/tillsynsmail/A 46147-2022 tillsynsbegäran mail.docx", "A 46147-2022")</f>
        <v/>
      </c>
    </row>
    <row r="36" ht="15" customHeight="1">
      <c r="A36" t="inlineStr">
        <is>
          <t>A 21788-2026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46217</v>
      </c>
      <c r="F36" t="inlineStr">
        <is>
          <t>SKÅNE LÄN</t>
        </is>
      </c>
      <c r="G36" t="inlineStr">
        <is>
          <t>KLIPPAN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Bäckbräsma</t>
        </is>
      </c>
      <c r="V36">
        <f>HYPERLINK("https://klasma.github.io/Logging_1276/artfynd/A 21788-2026 artfynd.xlsx", "A 21788-2026")</f>
        <v/>
      </c>
      <c r="W36">
        <f>HYPERLINK("https://klasma.github.io/Logging_1276/kartor/A 21788-2026 karta.png", "A 21788-2026")</f>
        <v/>
      </c>
      <c r="Y36">
        <f>HYPERLINK("https://klasma.github.io/Logging_1276/klagomål/A 21788-2026 FSC-klagomål.docx", "A 21788-2026")</f>
        <v/>
      </c>
      <c r="Z36">
        <f>HYPERLINK("https://klasma.github.io/Logging_1276/klagomålsmail/A 21788-2026 FSC-klagomål mail.docx", "A 21788-2026")</f>
        <v/>
      </c>
      <c r="AA36">
        <f>HYPERLINK("https://klasma.github.io/Logging_1276/tillsyn/A 21788-2026 tillsynsbegäran.docx", "A 21788-2026")</f>
        <v/>
      </c>
      <c r="AB36">
        <f>HYPERLINK("https://klasma.github.io/Logging_1276/tillsynsmail/A 21788-2026 tillsynsbegäran mail.docx", "A 21788-2026")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46217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Backsippa</t>
        </is>
      </c>
      <c r="V37">
        <f>HYPERLINK("https://klasma.github.io/Logging_1276/artfynd/A 6446-2026 artfynd.xlsx", "A 6446-2026")</f>
        <v/>
      </c>
      <c r="W37">
        <f>HYPERLINK("https://klasma.github.io/Logging_1276/kartor/A 6446-2026 karta.png", "A 6446-2026")</f>
        <v/>
      </c>
      <c r="Y37">
        <f>HYPERLINK("https://klasma.github.io/Logging_1276/klagomål/A 6446-2026 FSC-klagomål.docx", "A 6446-2026")</f>
        <v/>
      </c>
      <c r="Z37">
        <f>HYPERLINK("https://klasma.github.io/Logging_1276/klagomålsmail/A 6446-2026 FSC-klagomål mail.docx", "A 6446-2026")</f>
        <v/>
      </c>
      <c r="AA37">
        <f>HYPERLINK("https://klasma.github.io/Logging_1276/tillsyn/A 6446-2026 tillsynsbegäran.docx", "A 6446-2026")</f>
        <v/>
      </c>
      <c r="AB37">
        <f>HYPERLINK("https://klasma.github.io/Logging_1276/tillsynsmail/A 6446-2026 tillsynsbegäran mail.docx", "A 6446-2026")</f>
        <v/>
      </c>
    </row>
    <row r="38" ht="15" customHeight="1">
      <c r="A38" t="inlineStr">
        <is>
          <t>A 10000-2025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46217</v>
      </c>
      <c r="F38" t="inlineStr">
        <is>
          <t>SKÅNE LÄN</t>
        </is>
      </c>
      <c r="G38" t="inlineStr">
        <is>
          <t>KLIPPAN</t>
        </is>
      </c>
      <c r="I38" t="n">
        <v>2.6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Dvärghäxört</t>
        </is>
      </c>
      <c r="V38">
        <f>HYPERLINK("https://klasma.github.io/Logging_1276/artfynd/A 10000-2025 artfynd.xlsx", "A 10000-2025")</f>
        <v/>
      </c>
      <c r="W38">
        <f>HYPERLINK("https://klasma.github.io/Logging_1276/kartor/A 10000-2025 karta.png", "A 10000-2025")</f>
        <v/>
      </c>
      <c r="Y38">
        <f>HYPERLINK("https://klasma.github.io/Logging_1276/klagomål/A 10000-2025 FSC-klagomål.docx", "A 10000-2025")</f>
        <v/>
      </c>
      <c r="Z38">
        <f>HYPERLINK("https://klasma.github.io/Logging_1276/klagomålsmail/A 10000-2025 FSC-klagomål mail.docx", "A 10000-2025")</f>
        <v/>
      </c>
      <c r="AA38">
        <f>HYPERLINK("https://klasma.github.io/Logging_1276/tillsyn/A 10000-2025 tillsynsbegäran.docx", "A 10000-2025")</f>
        <v/>
      </c>
      <c r="AB38">
        <f>HYPERLINK("https://klasma.github.io/Logging_1276/tillsynsmail/A 10000-2025 tillsynsbegäran mail.docx", "A 10000-2025")</f>
        <v/>
      </c>
    </row>
    <row r="39" ht="15" customHeight="1">
      <c r="A39" t="inlineStr">
        <is>
          <t>A 51276-2024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46217</v>
      </c>
      <c r="F39" t="inlineStr">
        <is>
          <t>SKÅNE LÄN</t>
        </is>
      </c>
      <c r="G39" t="inlineStr">
        <is>
          <t>KLIPPAN</t>
        </is>
      </c>
      <c r="I39" t="n">
        <v>2.4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Rutskinn</t>
        </is>
      </c>
      <c r="V39">
        <f>HYPERLINK("https://klasma.github.io/Logging_1276/artfynd/A 51276-2024 artfynd.xlsx", "A 51276-2024")</f>
        <v/>
      </c>
      <c r="W39">
        <f>HYPERLINK("https://klasma.github.io/Logging_1276/kartor/A 51276-2024 karta.png", "A 51276-2024")</f>
        <v/>
      </c>
      <c r="Y39">
        <f>HYPERLINK("https://klasma.github.io/Logging_1276/klagomål/A 51276-2024 FSC-klagomål.docx", "A 51276-2024")</f>
        <v/>
      </c>
      <c r="Z39">
        <f>HYPERLINK("https://klasma.github.io/Logging_1276/klagomålsmail/A 51276-2024 FSC-klagomål mail.docx", "A 51276-2024")</f>
        <v/>
      </c>
      <c r="AA39">
        <f>HYPERLINK("https://klasma.github.io/Logging_1276/tillsyn/A 51276-2024 tillsynsbegäran.docx", "A 51276-2024")</f>
        <v/>
      </c>
      <c r="AB39">
        <f>HYPERLINK("https://klasma.github.io/Logging_1276/tillsynsmail/A 51276-2024 tillsynsbegäran mail.docx", "A 51276-2024")</f>
        <v/>
      </c>
    </row>
    <row r="40" ht="15" customHeight="1">
      <c r="A40" t="inlineStr">
        <is>
          <t>S 2025-2022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44665</v>
      </c>
      <c r="E40" s="1" t="n">
        <v>46217</v>
      </c>
      <c r="F40" t="inlineStr">
        <is>
          <t>SKÅNE LÄN</t>
        </is>
      </c>
      <c r="G40" t="inlineStr">
        <is>
          <t>KLIPPAN</t>
        </is>
      </c>
      <c r="I40" t="n">
        <v>13.5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Tibast</t>
        </is>
      </c>
      <c r="V40">
        <f>HYPERLINK("https://klasma.github.io/Logging_1276/artfynd/S 2025-2022 artfynd.xlsx", "S 2025-2022")</f>
        <v/>
      </c>
      <c r="W40">
        <f>HYPERLINK("https://klasma.github.io/Logging_1276/kartor/S 2025-2022 karta.png", "S 2025-2022")</f>
        <v/>
      </c>
      <c r="Y40">
        <f>HYPERLINK("https://klasma.github.io/Logging_1276/klagomål/S 2025-2022 FSC-klagomål.docx", "S 2025-2022")</f>
        <v/>
      </c>
      <c r="Z40">
        <f>HYPERLINK("https://klasma.github.io/Logging_1276/klagomålsmail/S 2025-2022 FSC-klagomål mail.docx", "S 2025-2022")</f>
        <v/>
      </c>
      <c r="AA40">
        <f>HYPERLINK("https://klasma.github.io/Logging_1276/tillsyn/S 2025-2022 tillsynsbegäran.docx", "S 2025-2022")</f>
        <v/>
      </c>
      <c r="AB40">
        <f>HYPERLINK("https://klasma.github.io/Logging_1276/tillsynsmail/S 2025-2022 tillsynsbegäran mail.docx", "S 2025-2022")</f>
        <v/>
      </c>
    </row>
    <row r="41" ht="15" customHeight="1">
      <c r="A41" t="inlineStr">
        <is>
          <t>S 841-2023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44992</v>
      </c>
      <c r="E41" s="1" t="n">
        <v>46217</v>
      </c>
      <c r="F41" t="inlineStr">
        <is>
          <t>SKÅNE LÄN</t>
        </is>
      </c>
      <c r="G41" t="inlineStr">
        <is>
          <t>KLIPPAN</t>
        </is>
      </c>
      <c r="I41" t="n">
        <v>23.9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Igelkott</t>
        </is>
      </c>
      <c r="V41">
        <f>HYPERLINK("https://klasma.github.io/Logging_1276/artfynd/S 841-2023 artfynd.xlsx", "S 841-2023")</f>
        <v/>
      </c>
      <c r="W41">
        <f>HYPERLINK("https://klasma.github.io/Logging_1276/kartor/S 841-2023 karta.png", "S 841-2023")</f>
        <v/>
      </c>
      <c r="Y41">
        <f>HYPERLINK("https://klasma.github.io/Logging_1276/klagomål/S 841-2023 FSC-klagomål.docx", "S 841-2023")</f>
        <v/>
      </c>
      <c r="Z41">
        <f>HYPERLINK("https://klasma.github.io/Logging_1276/klagomålsmail/S 841-2023 FSC-klagomål mail.docx", "S 841-2023")</f>
        <v/>
      </c>
      <c r="AA41">
        <f>HYPERLINK("https://klasma.github.io/Logging_1276/tillsyn/S 841-2023 tillsynsbegäran.docx", "S 841-2023")</f>
        <v/>
      </c>
      <c r="AB41">
        <f>HYPERLINK("https://klasma.github.io/Logging_1276/tillsynsmail/S 841-2023 tillsynsbegäran mail.docx", "S 841-2023")</f>
        <v/>
      </c>
    </row>
    <row r="42" ht="15" customHeight="1">
      <c r="A42" t="inlineStr">
        <is>
          <t>S 3667-2023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45217</v>
      </c>
      <c r="E42" s="1" t="n">
        <v>46217</v>
      </c>
      <c r="F42" t="inlineStr">
        <is>
          <t>SKÅNE LÄN</t>
        </is>
      </c>
      <c r="G42" t="inlineStr">
        <is>
          <t>KLIPPAN</t>
        </is>
      </c>
      <c r="I42" t="n">
        <v>186.4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Skogsalm</t>
        </is>
      </c>
      <c r="V42">
        <f>HYPERLINK("https://klasma.github.io/Logging_1276/artfynd/S 3667-2023 artfynd.xlsx", "S 3667-2023")</f>
        <v/>
      </c>
      <c r="W42">
        <f>HYPERLINK("https://klasma.github.io/Logging_1276/kartor/S 3667-2023 karta.png", "S 3667-2023")</f>
        <v/>
      </c>
      <c r="Y42">
        <f>HYPERLINK("https://klasma.github.io/Logging_1276/klagomål/S 3667-2023 FSC-klagomål.docx", "S 3667-2023")</f>
        <v/>
      </c>
      <c r="Z42">
        <f>HYPERLINK("https://klasma.github.io/Logging_1276/klagomålsmail/S 3667-2023 FSC-klagomål mail.docx", "S 3667-2023")</f>
        <v/>
      </c>
      <c r="AA42">
        <f>HYPERLINK("https://klasma.github.io/Logging_1276/tillsyn/S 3667-2023 tillsynsbegäran.docx", "S 3667-2023")</f>
        <v/>
      </c>
      <c r="AB42">
        <f>HYPERLINK("https://klasma.github.io/Logging_1276/tillsynsmail/S 3667-2023 tillsynsbegäran mail.docx", "S 3667-2023")</f>
        <v/>
      </c>
    </row>
    <row r="43" ht="15" customHeight="1">
      <c r="A43" t="inlineStr">
        <is>
          <t>S 5988-2022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44859</v>
      </c>
      <c r="E43" s="1" t="n">
        <v>46217</v>
      </c>
      <c r="F43" t="inlineStr">
        <is>
          <t>SKÅNE LÄN</t>
        </is>
      </c>
      <c r="G43" t="inlineStr">
        <is>
          <t>KLIPPAN</t>
        </is>
      </c>
      <c r="I43" t="n">
        <v>27.8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snok</t>
        </is>
      </c>
      <c r="V43">
        <f>HYPERLINK("https://klasma.github.io/Logging_1276/artfynd/S 5988-2022 artfynd.xlsx", "S 5988-2022")</f>
        <v/>
      </c>
      <c r="W43">
        <f>HYPERLINK("https://klasma.github.io/Logging_1276/kartor/S 5988-2022 karta.png", "S 5988-2022")</f>
        <v/>
      </c>
      <c r="Y43">
        <f>HYPERLINK("https://klasma.github.io/Logging_1276/klagomål/S 5988-2022 FSC-klagomål.docx", "S 5988-2022")</f>
        <v/>
      </c>
      <c r="Z43">
        <f>HYPERLINK("https://klasma.github.io/Logging_1276/klagomålsmail/S 5988-2022 FSC-klagomål mail.docx", "S 5988-2022")</f>
        <v/>
      </c>
      <c r="AA43">
        <f>HYPERLINK("https://klasma.github.io/Logging_1276/tillsyn/S 5988-2022 tillsynsbegäran.docx", "S 5988-2022")</f>
        <v/>
      </c>
      <c r="AB43">
        <f>HYPERLINK("https://klasma.github.io/Logging_1276/tillsynsmail/S 5988-2022 tillsynsbegäran mail.docx", "S 5988-2022")</f>
        <v/>
      </c>
    </row>
    <row r="44" ht="15" customHeight="1">
      <c r="A44" t="inlineStr">
        <is>
          <t>A 55629-2022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46217</v>
      </c>
      <c r="F44" t="inlineStr">
        <is>
          <t>SKÅNE LÄN</t>
        </is>
      </c>
      <c r="G44" t="inlineStr">
        <is>
          <t>KLIPPAN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55637-2022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46217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5791-2022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44596</v>
      </c>
      <c r="E46" s="1" t="n">
        <v>46217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58633-2021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44489</v>
      </c>
      <c r="E47" s="1" t="n">
        <v>46217</v>
      </c>
      <c r="F47" t="inlineStr">
        <is>
          <t>SKÅNE LÄN</t>
        </is>
      </c>
      <c r="G47" t="inlineStr">
        <is>
          <t>KLIPPAN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19097-2022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46217</v>
      </c>
      <c r="F48" t="inlineStr">
        <is>
          <t>SKÅNE LÄN</t>
        </is>
      </c>
      <c r="G48" t="inlineStr">
        <is>
          <t>KLIPPAN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20010-2022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44697</v>
      </c>
      <c r="E49" s="1" t="n">
        <v>46217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19999-2022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46217</v>
      </c>
      <c r="F50" t="inlineStr">
        <is>
          <t>SKÅNE LÄN</t>
        </is>
      </c>
      <c r="G50" t="inlineStr">
        <is>
          <t>KLIPPAN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46217</v>
      </c>
      <c r="F51" t="inlineStr">
        <is>
          <t>SKÅNE LÄN</t>
        </is>
      </c>
      <c r="G51" t="inlineStr">
        <is>
          <t>KLIPPAN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57952-2021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46217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44575</v>
      </c>
      <c r="E53" s="1" t="n">
        <v>46217</v>
      </c>
      <c r="F53" t="inlineStr">
        <is>
          <t>SKÅNE LÄN</t>
        </is>
      </c>
      <c r="G53" t="inlineStr">
        <is>
          <t>KLIPPAN</t>
        </is>
      </c>
      <c r="H53" t="inlineStr">
        <is>
          <t>Sveaskog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46217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53582-2022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46217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46692-2021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46217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7839-2022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44608</v>
      </c>
      <c r="E57" s="1" t="n">
        <v>46217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46217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41272-2022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44825</v>
      </c>
      <c r="E59" s="1" t="n">
        <v>46217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32455-2022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44782</v>
      </c>
      <c r="E60" s="1" t="n">
        <v>46217</v>
      </c>
      <c r="F60" t="inlineStr">
        <is>
          <t>SKÅNE LÄN</t>
        </is>
      </c>
      <c r="G60" t="inlineStr">
        <is>
          <t>KLIPPAN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46217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46217</v>
      </c>
      <c r="F62" t="inlineStr">
        <is>
          <t>SKÅNE LÄN</t>
        </is>
      </c>
      <c r="G62" t="inlineStr">
        <is>
          <t>KLIPPAN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40238-2021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46217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46217</v>
      </c>
      <c r="F64" t="inlineStr">
        <is>
          <t>SKÅNE LÄN</t>
        </is>
      </c>
      <c r="G64" t="inlineStr">
        <is>
          <t>KLIPPAN</t>
        </is>
      </c>
      <c r="H64" t="inlineStr">
        <is>
          <t>Kommuner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17425-2022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44679</v>
      </c>
      <c r="E65" s="1" t="n">
        <v>46217</v>
      </c>
      <c r="F65" t="inlineStr">
        <is>
          <t>SKÅNE LÄN</t>
        </is>
      </c>
      <c r="G65" t="inlineStr">
        <is>
          <t>KLIPPAN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39056-2022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46217</v>
      </c>
      <c r="F66" t="inlineStr">
        <is>
          <t>SKÅNE LÄN</t>
        </is>
      </c>
      <c r="G66" t="inlineStr">
        <is>
          <t>KLIPPAN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6615-2024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45341</v>
      </c>
      <c r="E67" s="1" t="n">
        <v>46217</v>
      </c>
      <c r="F67" t="inlineStr">
        <is>
          <t>SKÅNE LÄN</t>
        </is>
      </c>
      <c r="G67" t="inlineStr">
        <is>
          <t>KLIPPAN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22976-2023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45072</v>
      </c>
      <c r="E68" s="1" t="n">
        <v>46217</v>
      </c>
      <c r="F68" t="inlineStr">
        <is>
          <t>SKÅNE LÄN</t>
        </is>
      </c>
      <c r="G68" t="inlineStr">
        <is>
          <t>KLIPPAN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45324</v>
      </c>
      <c r="E69" s="1" t="n">
        <v>46217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45324</v>
      </c>
      <c r="E70" s="1" t="n">
        <v>46217</v>
      </c>
      <c r="F70" t="inlineStr">
        <is>
          <t>SKÅNE LÄN</t>
        </is>
      </c>
      <c r="G70" t="inlineStr">
        <is>
          <t>KLIPPAN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17856-2024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46217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47869-2022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46217</v>
      </c>
      <c r="F72" t="inlineStr">
        <is>
          <t>SKÅNE LÄN</t>
        </is>
      </c>
      <c r="G72" t="inlineStr">
        <is>
          <t>KLIPPAN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55833-2023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45239</v>
      </c>
      <c r="E73" s="1" t="n">
        <v>46217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38156-2022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46217</v>
      </c>
      <c r="F74" t="inlineStr">
        <is>
          <t>SKÅNE LÄN</t>
        </is>
      </c>
      <c r="G74" t="inlineStr">
        <is>
          <t>KLIPPAN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14278-2024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46217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56089-2021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46217</v>
      </c>
      <c r="F76" t="inlineStr">
        <is>
          <t>SKÅNE LÄN</t>
        </is>
      </c>
      <c r="G76" t="inlineStr">
        <is>
          <t>KLIPPAN</t>
        </is>
      </c>
      <c r="I76" t="n">
        <v>20.9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23260-2023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45075</v>
      </c>
      <c r="E77" s="1" t="n">
        <v>46217</v>
      </c>
      <c r="F77" t="inlineStr">
        <is>
          <t>SKÅNE LÄN</t>
        </is>
      </c>
      <c r="G77" t="inlineStr">
        <is>
          <t>KLIPPAN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21654-2024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45442</v>
      </c>
      <c r="E78" s="1" t="n">
        <v>46217</v>
      </c>
      <c r="F78" t="inlineStr">
        <is>
          <t>SKÅNE LÄN</t>
        </is>
      </c>
      <c r="G78" t="inlineStr">
        <is>
          <t>KLIPPAN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46217</v>
      </c>
      <c r="F79" t="inlineStr">
        <is>
          <t>SKÅNE LÄN</t>
        </is>
      </c>
      <c r="G79" t="inlineStr">
        <is>
          <t>KLIPPAN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54348-2022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46217</v>
      </c>
      <c r="F80" t="inlineStr">
        <is>
          <t>SKÅNE LÄN</t>
        </is>
      </c>
      <c r="G80" t="inlineStr">
        <is>
          <t>KLIPPAN</t>
        </is>
      </c>
      <c r="I80" t="n">
        <v>7.8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45641-2022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44845</v>
      </c>
      <c r="E81" s="1" t="n">
        <v>46217</v>
      </c>
      <c r="F81" t="inlineStr">
        <is>
          <t>SKÅNE LÄN</t>
        </is>
      </c>
      <c r="G81" t="inlineStr">
        <is>
          <t>KLIPPAN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46217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9142-2025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46217</v>
      </c>
      <c r="F83" t="inlineStr">
        <is>
          <t>SKÅNE LÄN</t>
        </is>
      </c>
      <c r="G83" t="inlineStr">
        <is>
          <t>KLIPPAN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55586-2021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46217</v>
      </c>
      <c r="F84" t="inlineStr">
        <is>
          <t>SKÅNE LÄN</t>
        </is>
      </c>
      <c r="G84" t="inlineStr">
        <is>
          <t>KLIPPAN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13994-2025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45739</v>
      </c>
      <c r="E85" s="1" t="n">
        <v>46217</v>
      </c>
      <c r="F85" t="inlineStr">
        <is>
          <t>SKÅNE LÄN</t>
        </is>
      </c>
      <c r="G85" t="inlineStr">
        <is>
          <t>KLIPPAN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33331-2024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45519</v>
      </c>
      <c r="E86" s="1" t="n">
        <v>46217</v>
      </c>
      <c r="F86" t="inlineStr">
        <is>
          <t>SKÅNE LÄN</t>
        </is>
      </c>
      <c r="G86" t="inlineStr">
        <is>
          <t>KLIPPAN</t>
        </is>
      </c>
      <c r="H86" t="inlineStr">
        <is>
          <t>Sveaskog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58387-2022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44901</v>
      </c>
      <c r="E87" s="1" t="n">
        <v>46217</v>
      </c>
      <c r="F87" t="inlineStr">
        <is>
          <t>SKÅNE LÄN</t>
        </is>
      </c>
      <c r="G87" t="inlineStr">
        <is>
          <t>KLIPPAN</t>
        </is>
      </c>
      <c r="H87" t="inlineStr">
        <is>
          <t>Kommuner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46217</v>
      </c>
      <c r="F88" t="inlineStr">
        <is>
          <t>SKÅNE LÄN</t>
        </is>
      </c>
      <c r="G88" t="inlineStr">
        <is>
          <t>KLIPPAN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46217</v>
      </c>
      <c r="F89" t="inlineStr">
        <is>
          <t>SKÅNE LÄN</t>
        </is>
      </c>
      <c r="G89" t="inlineStr">
        <is>
          <t>KLIPPAN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8017-2022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44609</v>
      </c>
      <c r="E90" s="1" t="n">
        <v>46217</v>
      </c>
      <c r="F90" t="inlineStr">
        <is>
          <t>SKÅNE LÄN</t>
        </is>
      </c>
      <c r="G90" t="inlineStr">
        <is>
          <t>KLIPPAN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45562</v>
      </c>
      <c r="E91" s="1" t="n">
        <v>46217</v>
      </c>
      <c r="F91" t="inlineStr">
        <is>
          <t>SKÅNE LÄN</t>
        </is>
      </c>
      <c r="G91" t="inlineStr">
        <is>
          <t>KLIPPAN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14614-2023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45013</v>
      </c>
      <c r="E92" s="1" t="n">
        <v>46217</v>
      </c>
      <c r="F92" t="inlineStr">
        <is>
          <t>SKÅNE LÄN</t>
        </is>
      </c>
      <c r="G92" t="inlineStr">
        <is>
          <t>KLIPPAN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45055</v>
      </c>
      <c r="E93" s="1" t="n">
        <v>46217</v>
      </c>
      <c r="F93" t="inlineStr">
        <is>
          <t>SKÅNE LÄN</t>
        </is>
      </c>
      <c r="G93" t="inlineStr">
        <is>
          <t>KLIPPAN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23978-2022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44722</v>
      </c>
      <c r="E94" s="1" t="n">
        <v>46217</v>
      </c>
      <c r="F94" t="inlineStr">
        <is>
          <t>SKÅNE LÄN</t>
        </is>
      </c>
      <c r="G94" t="inlineStr">
        <is>
          <t>KLIPPAN</t>
        </is>
      </c>
      <c r="I94" t="n">
        <v>9.699999999999999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60783-2023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45260</v>
      </c>
      <c r="E95" s="1" t="n">
        <v>46217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50357-2021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46217</v>
      </c>
      <c r="F96" t="inlineStr">
        <is>
          <t>SKÅNE LÄN</t>
        </is>
      </c>
      <c r="G96" t="inlineStr">
        <is>
          <t>KLIPPAN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8500-2023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46217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24813-2025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46217</v>
      </c>
      <c r="F98" t="inlineStr">
        <is>
          <t>SKÅNE LÄN</t>
        </is>
      </c>
      <c r="G98" t="inlineStr">
        <is>
          <t>KLIPPAN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60791-2023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45260</v>
      </c>
      <c r="E99" s="1" t="n">
        <v>46217</v>
      </c>
      <c r="F99" t="inlineStr">
        <is>
          <t>SKÅNE LÄN</t>
        </is>
      </c>
      <c r="G99" t="inlineStr">
        <is>
          <t>KLIPPAN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20088-2026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46217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45005</v>
      </c>
      <c r="E101" s="1" t="n">
        <v>46217</v>
      </c>
      <c r="F101" t="inlineStr">
        <is>
          <t>SKÅNE LÄN</t>
        </is>
      </c>
      <c r="G101" t="inlineStr">
        <is>
          <t>KLIPPAN</t>
        </is>
      </c>
      <c r="H101" t="inlineStr">
        <is>
          <t>Övriga Aktiebolag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22202-2023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45069</v>
      </c>
      <c r="E102" s="1" t="n">
        <v>46217</v>
      </c>
      <c r="F102" t="inlineStr">
        <is>
          <t>SKÅNE LÄN</t>
        </is>
      </c>
      <c r="G102" t="inlineStr">
        <is>
          <t>KLIPPAN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52851-2024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46217</v>
      </c>
      <c r="F103" t="inlineStr">
        <is>
          <t>SKÅNE LÄN</t>
        </is>
      </c>
      <c r="G103" t="inlineStr">
        <is>
          <t>KLIPPAN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25721-2026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46217</v>
      </c>
      <c r="F104" t="inlineStr">
        <is>
          <t>SKÅNE LÄN</t>
        </is>
      </c>
      <c r="G104" t="inlineStr">
        <is>
          <t>KLIPPAN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49073-2024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46217</v>
      </c>
      <c r="F105" t="inlineStr">
        <is>
          <t>SKÅNE LÄN</t>
        </is>
      </c>
      <c r="G105" t="inlineStr">
        <is>
          <t>KLIPPAN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25424-2026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46217</v>
      </c>
      <c r="F106" t="inlineStr">
        <is>
          <t>SKÅNE LÄN</t>
        </is>
      </c>
      <c r="G106" t="inlineStr">
        <is>
          <t>KLIPPAN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43855-2022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44838</v>
      </c>
      <c r="E107" s="1" t="n">
        <v>46217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20717-2023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45055</v>
      </c>
      <c r="E108" s="1" t="n">
        <v>46217</v>
      </c>
      <c r="F108" t="inlineStr">
        <is>
          <t>SKÅNE LÄN</t>
        </is>
      </c>
      <c r="G108" t="inlineStr">
        <is>
          <t>KLIPPAN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56759-2023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46217</v>
      </c>
      <c r="F109" t="inlineStr">
        <is>
          <t>SKÅNE LÄN</t>
        </is>
      </c>
      <c r="G109" t="inlineStr">
        <is>
          <t>KLIPPAN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20082-2026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46217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25423-2026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46217</v>
      </c>
      <c r="F111" t="inlineStr">
        <is>
          <t>SKÅNE LÄN</t>
        </is>
      </c>
      <c r="G111" t="inlineStr">
        <is>
          <t>KLIPPAN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27454-2024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45474</v>
      </c>
      <c r="E112" s="1" t="n">
        <v>46217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42627-2025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46217</v>
      </c>
      <c r="F113" t="inlineStr">
        <is>
          <t>SKÅNE LÄN</t>
        </is>
      </c>
      <c r="G113" t="inlineStr">
        <is>
          <t>KLIPPAN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28490-2023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46217</v>
      </c>
      <c r="F114" t="inlineStr">
        <is>
          <t>SKÅNE LÄN</t>
        </is>
      </c>
      <c r="G114" t="inlineStr">
        <is>
          <t>KLIPPAN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34479-2025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45847</v>
      </c>
      <c r="E115" s="1" t="n">
        <v>46217</v>
      </c>
      <c r="F115" t="inlineStr">
        <is>
          <t>SKÅNE LÄN</t>
        </is>
      </c>
      <c r="G115" t="inlineStr">
        <is>
          <t>KLIPPAN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46619-2024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46217</v>
      </c>
      <c r="F116" t="inlineStr">
        <is>
          <t>SKÅNE LÄN</t>
        </is>
      </c>
      <c r="G116" t="inlineStr">
        <is>
          <t>KLIPPAN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46217</v>
      </c>
      <c r="F117" t="inlineStr">
        <is>
          <t>SKÅNE LÄN</t>
        </is>
      </c>
      <c r="G117" t="inlineStr">
        <is>
          <t>KLIPPAN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13363-2023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46217</v>
      </c>
      <c r="F118" t="inlineStr">
        <is>
          <t>SKÅNE LÄN</t>
        </is>
      </c>
      <c r="G118" t="inlineStr">
        <is>
          <t>KLIPPAN</t>
        </is>
      </c>
      <c r="H118" t="inlineStr">
        <is>
          <t>Övriga Aktiebolag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14619-2023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45013</v>
      </c>
      <c r="E119" s="1" t="n">
        <v>46217</v>
      </c>
      <c r="F119" t="inlineStr">
        <is>
          <t>SKÅNE LÄN</t>
        </is>
      </c>
      <c r="G119" t="inlineStr">
        <is>
          <t>KLIPPAN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55587-2021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46217</v>
      </c>
      <c r="F120" t="inlineStr">
        <is>
          <t>SKÅNE LÄN</t>
        </is>
      </c>
      <c r="G120" t="inlineStr">
        <is>
          <t>KLIPPAN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61060-2025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46217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46217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40105-2025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45894</v>
      </c>
      <c r="E123" s="1" t="n">
        <v>46217</v>
      </c>
      <c r="F123" t="inlineStr">
        <is>
          <t>SKÅNE LÄN</t>
        </is>
      </c>
      <c r="G123" t="inlineStr">
        <is>
          <t>KLIPPAN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51396-2025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46217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69041-2021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44529</v>
      </c>
      <c r="E125" s="1" t="n">
        <v>46217</v>
      </c>
      <c r="F125" t="inlineStr">
        <is>
          <t>SKÅNE LÄN</t>
        </is>
      </c>
      <c r="G125" t="inlineStr">
        <is>
          <t>KLIPPAN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23741-2023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45077</v>
      </c>
      <c r="E126" s="1" t="n">
        <v>46217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25393-2023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46217</v>
      </c>
      <c r="F127" t="inlineStr">
        <is>
          <t>SKÅNE LÄN</t>
        </is>
      </c>
      <c r="G127" t="inlineStr">
        <is>
          <t>KLIPPAN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46217</v>
      </c>
      <c r="F128" t="inlineStr">
        <is>
          <t>SKÅNE LÄN</t>
        </is>
      </c>
      <c r="G128" t="inlineStr">
        <is>
          <t>KLIPPAN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36842-2024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46217</v>
      </c>
      <c r="F129" t="inlineStr">
        <is>
          <t>SKÅNE LÄN</t>
        </is>
      </c>
      <c r="G129" t="inlineStr">
        <is>
          <t>KLIPPAN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46217</v>
      </c>
      <c r="F130" t="inlineStr">
        <is>
          <t>SKÅNE LÄN</t>
        </is>
      </c>
      <c r="G130" t="inlineStr">
        <is>
          <t>KLIPPAN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20591-2023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45055</v>
      </c>
      <c r="E131" s="1" t="n">
        <v>46217</v>
      </c>
      <c r="F131" t="inlineStr">
        <is>
          <t>SKÅNE LÄN</t>
        </is>
      </c>
      <c r="G131" t="inlineStr">
        <is>
          <t>KLIPPAN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55588-2021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46217</v>
      </c>
      <c r="F132" t="inlineStr">
        <is>
          <t>SKÅNE LÄN</t>
        </is>
      </c>
      <c r="G132" t="inlineStr">
        <is>
          <t>KLIPPAN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55696-2025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46217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47856-2024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45588</v>
      </c>
      <c r="E134" s="1" t="n">
        <v>46217</v>
      </c>
      <c r="F134" t="inlineStr">
        <is>
          <t>SKÅNE LÄN</t>
        </is>
      </c>
      <c r="G134" t="inlineStr">
        <is>
          <t>KLIPPAN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28247-2023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46217</v>
      </c>
      <c r="F135" t="inlineStr">
        <is>
          <t>SKÅNE LÄN</t>
        </is>
      </c>
      <c r="G135" t="inlineStr">
        <is>
          <t>KLIPPAN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33462-2025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46217</v>
      </c>
      <c r="F136" t="inlineStr">
        <is>
          <t>SKÅNE LÄN</t>
        </is>
      </c>
      <c r="G136" t="inlineStr">
        <is>
          <t>KLIPPAN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44944</v>
      </c>
      <c r="E137" s="1" t="n">
        <v>46217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28847-2023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45104</v>
      </c>
      <c r="E138" s="1" t="n">
        <v>46217</v>
      </c>
      <c r="F138" t="inlineStr">
        <is>
          <t>SKÅNE LÄN</t>
        </is>
      </c>
      <c r="G138" t="inlineStr">
        <is>
          <t>KLIPPAN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20628-2026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46217</v>
      </c>
      <c r="F139" t="inlineStr">
        <is>
          <t>SKÅNE LÄN</t>
        </is>
      </c>
      <c r="G139" t="inlineStr">
        <is>
          <t>KLIPPAN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45562</v>
      </c>
      <c r="E140" s="1" t="n">
        <v>46217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57687-2025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46217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20627-2026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46217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20629-2026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46217</v>
      </c>
      <c r="F143" t="inlineStr">
        <is>
          <t>SKÅNE LÄN</t>
        </is>
      </c>
      <c r="G143" t="inlineStr">
        <is>
          <t>KLIPPAN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46217</v>
      </c>
      <c r="F144" t="inlineStr">
        <is>
          <t>SKÅNE LÄN</t>
        </is>
      </c>
      <c r="G144" t="inlineStr">
        <is>
          <t>KLIPPAN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21778-2026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46217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21602-2026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46217</v>
      </c>
      <c r="F146" t="inlineStr">
        <is>
          <t>SKÅNE LÄN</t>
        </is>
      </c>
      <c r="G146" t="inlineStr">
        <is>
          <t>KLIPPAN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21609-2026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46217</v>
      </c>
      <c r="F147" t="inlineStr">
        <is>
          <t>SKÅNE LÄN</t>
        </is>
      </c>
      <c r="G147" t="inlineStr">
        <is>
          <t>KLIPPAN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21607-2026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46217</v>
      </c>
      <c r="F148" t="inlineStr">
        <is>
          <t>SKÅNE LÄN</t>
        </is>
      </c>
      <c r="G148" t="inlineStr">
        <is>
          <t>KLIPPAN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21603-2026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46217</v>
      </c>
      <c r="F149" t="inlineStr">
        <is>
          <t>SKÅNE LÄN</t>
        </is>
      </c>
      <c r="G149" t="inlineStr">
        <is>
          <t>KLIPPAN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21608-2026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46217</v>
      </c>
      <c r="F150" t="inlineStr">
        <is>
          <t>SKÅNE LÄN</t>
        </is>
      </c>
      <c r="G150" t="inlineStr">
        <is>
          <t>KLIPPAN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21611-2026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46217</v>
      </c>
      <c r="F151" t="inlineStr">
        <is>
          <t>SKÅNE LÄN</t>
        </is>
      </c>
      <c r="G151" t="inlineStr">
        <is>
          <t>KLIPPAN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21599-2026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46217</v>
      </c>
      <c r="F152" t="inlineStr">
        <is>
          <t>SKÅNE LÄN</t>
        </is>
      </c>
      <c r="G152" t="inlineStr">
        <is>
          <t>KLIPPAN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63499-2025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46013</v>
      </c>
      <c r="E153" s="1" t="n">
        <v>46217</v>
      </c>
      <c r="F153" t="inlineStr">
        <is>
          <t>SKÅNE LÄN</t>
        </is>
      </c>
      <c r="G153" t="inlineStr">
        <is>
          <t>KLIPPAN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46260-2024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46217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47967-2021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44448</v>
      </c>
      <c r="E155" s="1" t="n">
        <v>46217</v>
      </c>
      <c r="F155" t="inlineStr">
        <is>
          <t>SKÅNE LÄN</t>
        </is>
      </c>
      <c r="G155" t="inlineStr">
        <is>
          <t>KLIPPAN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58642-2021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46217</v>
      </c>
      <c r="F156" t="inlineStr">
        <is>
          <t>SKÅNE LÄN</t>
        </is>
      </c>
      <c r="G156" t="inlineStr">
        <is>
          <t>KLIPPAN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63720-2023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46217</v>
      </c>
      <c r="F157" t="inlineStr">
        <is>
          <t>SKÅNE LÄN</t>
        </is>
      </c>
      <c r="G157" t="inlineStr">
        <is>
          <t>KLIPPAN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46217</v>
      </c>
      <c r="F158" t="inlineStr">
        <is>
          <t>SKÅNE LÄN</t>
        </is>
      </c>
      <c r="G158" t="inlineStr">
        <is>
          <t>KLIPPAN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11676-2023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46217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11705-2023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44992</v>
      </c>
      <c r="E160" s="1" t="n">
        <v>46217</v>
      </c>
      <c r="F160" t="inlineStr">
        <is>
          <t>SKÅNE LÄN</t>
        </is>
      </c>
      <c r="G160" t="inlineStr">
        <is>
          <t>KLIPPAN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18214-2023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45040</v>
      </c>
      <c r="E161" s="1" t="n">
        <v>46217</v>
      </c>
      <c r="F161" t="inlineStr">
        <is>
          <t>SKÅNE LÄN</t>
        </is>
      </c>
      <c r="G161" t="inlineStr">
        <is>
          <t>KLIPPAN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44944</v>
      </c>
      <c r="E162" s="1" t="n">
        <v>46217</v>
      </c>
      <c r="F162" t="inlineStr">
        <is>
          <t>SKÅNE LÄN</t>
        </is>
      </c>
      <c r="G162" t="inlineStr">
        <is>
          <t>KLIPPAN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24647-2023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46217</v>
      </c>
      <c r="F163" t="inlineStr">
        <is>
          <t>SKÅNE LÄN</t>
        </is>
      </c>
      <c r="G163" t="inlineStr">
        <is>
          <t>KLIPPAN</t>
        </is>
      </c>
      <c r="H163" t="inlineStr">
        <is>
          <t>Övriga Aktiebolag</t>
        </is>
      </c>
      <c r="I163" t="n">
        <v>11.6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7661-2025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46217</v>
      </c>
      <c r="F164" t="inlineStr">
        <is>
          <t>SKÅNE LÄN</t>
        </is>
      </c>
      <c r="G164" t="inlineStr">
        <is>
          <t>KLIPPAN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45673</v>
      </c>
      <c r="E165" s="1" t="n">
        <v>46217</v>
      </c>
      <c r="F165" t="inlineStr">
        <is>
          <t>SKÅNE LÄN</t>
        </is>
      </c>
      <c r="G165" t="inlineStr">
        <is>
          <t>KLIPPAN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50781-2025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46217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4324-2024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46217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41294-2022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46217</v>
      </c>
      <c r="F168" t="inlineStr">
        <is>
          <t>SKÅNE LÄN</t>
        </is>
      </c>
      <c r="G168" t="inlineStr">
        <is>
          <t>KLIPPAN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46217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9270-2022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46217</v>
      </c>
      <c r="F170" t="inlineStr">
        <is>
          <t>SKÅNE LÄN</t>
        </is>
      </c>
      <c r="G170" t="inlineStr">
        <is>
          <t>KLIPPAN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46217</v>
      </c>
      <c r="F171" t="inlineStr">
        <is>
          <t>SKÅNE LÄN</t>
        </is>
      </c>
      <c r="G171" t="inlineStr">
        <is>
          <t>KLIPPAN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51844-2023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46217</v>
      </c>
      <c r="F172" t="inlineStr">
        <is>
          <t>SKÅNE LÄN</t>
        </is>
      </c>
      <c r="G172" t="inlineStr">
        <is>
          <t>KLIPPAN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46835-2023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45199</v>
      </c>
      <c r="E173" s="1" t="n">
        <v>46217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46217</v>
      </c>
      <c r="F174" t="inlineStr">
        <is>
          <t>SKÅNE LÄN</t>
        </is>
      </c>
      <c r="G174" t="inlineStr">
        <is>
          <t>KLIPPAN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29338-2026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46217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28844-2023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45104</v>
      </c>
      <c r="E176" s="1" t="n">
        <v>46217</v>
      </c>
      <c r="F176" t="inlineStr">
        <is>
          <t>SKÅNE LÄN</t>
        </is>
      </c>
      <c r="G176" t="inlineStr">
        <is>
          <t>KLIPPAN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23341-2026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46162</v>
      </c>
      <c r="E177" s="1" t="n">
        <v>46217</v>
      </c>
      <c r="F177" t="inlineStr">
        <is>
          <t>SKÅNE LÄN</t>
        </is>
      </c>
      <c r="G177" t="inlineStr">
        <is>
          <t>KLIPPAN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39238-2022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46217</v>
      </c>
      <c r="F178" t="inlineStr">
        <is>
          <t>SKÅNE LÄN</t>
        </is>
      </c>
      <c r="G178" t="inlineStr">
        <is>
          <t>KLIPPAN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46217</v>
      </c>
      <c r="F179" t="inlineStr">
        <is>
          <t>SKÅNE LÄN</t>
        </is>
      </c>
      <c r="G179" t="inlineStr">
        <is>
          <t>KLIPPAN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46217</v>
      </c>
      <c r="F180" t="inlineStr">
        <is>
          <t>SKÅNE LÄN</t>
        </is>
      </c>
      <c r="G180" t="inlineStr">
        <is>
          <t>KLIPPAN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46217</v>
      </c>
      <c r="F181" t="inlineStr">
        <is>
          <t>SKÅNE LÄN</t>
        </is>
      </c>
      <c r="G181" t="inlineStr">
        <is>
          <t>KLIPPAN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15442-2022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44659</v>
      </c>
      <c r="E182" s="1" t="n">
        <v>46217</v>
      </c>
      <c r="F182" t="inlineStr">
        <is>
          <t>SKÅNE LÄN</t>
        </is>
      </c>
      <c r="G182" t="inlineStr">
        <is>
          <t>KLIPPAN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48965-2023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45209</v>
      </c>
      <c r="E183" s="1" t="n">
        <v>46217</v>
      </c>
      <c r="F183" t="inlineStr">
        <is>
          <t>SKÅNE LÄN</t>
        </is>
      </c>
      <c r="G183" t="inlineStr">
        <is>
          <t>KLIPPAN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20012-2022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46217</v>
      </c>
      <c r="F184" t="inlineStr">
        <is>
          <t>SKÅNE LÄN</t>
        </is>
      </c>
      <c r="G184" t="inlineStr">
        <is>
          <t>KLIPPAN</t>
        </is>
      </c>
      <c r="I184" t="n">
        <v>17.2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23220-2026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46162</v>
      </c>
      <c r="E185" s="1" t="n">
        <v>46217</v>
      </c>
      <c r="F185" t="inlineStr">
        <is>
          <t>SKÅNE LÄN</t>
        </is>
      </c>
      <c r="G185" t="inlineStr">
        <is>
          <t>KLIPPAN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44593</v>
      </c>
      <c r="E186" s="1" t="n">
        <v>46217</v>
      </c>
      <c r="F186" t="inlineStr">
        <is>
          <t>SKÅNE LÄN</t>
        </is>
      </c>
      <c r="G186" t="inlineStr">
        <is>
          <t>KLIPPAN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9166-2026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46217</v>
      </c>
      <c r="F187" t="inlineStr">
        <is>
          <t>SKÅNE LÄN</t>
        </is>
      </c>
      <c r="G187" t="inlineStr">
        <is>
          <t>KLIPPAN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53290-2025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45958</v>
      </c>
      <c r="E188" s="1" t="n">
        <v>46217</v>
      </c>
      <c r="F188" t="inlineStr">
        <is>
          <t>SKÅNE LÄN</t>
        </is>
      </c>
      <c r="G188" t="inlineStr">
        <is>
          <t>KLIPPAN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9488-2026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46071</v>
      </c>
      <c r="E189" s="1" t="n">
        <v>46217</v>
      </c>
      <c r="F189" t="inlineStr">
        <is>
          <t>SKÅNE LÄN</t>
        </is>
      </c>
      <c r="G189" t="inlineStr">
        <is>
          <t>KLIPPAN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53289-2025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45958</v>
      </c>
      <c r="E190" s="1" t="n">
        <v>46217</v>
      </c>
      <c r="F190" t="inlineStr">
        <is>
          <t>SKÅNE LÄN</t>
        </is>
      </c>
      <c r="G190" t="inlineStr">
        <is>
          <t>KLIPPAN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243-2025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45660</v>
      </c>
      <c r="E191" s="1" t="n">
        <v>46217</v>
      </c>
      <c r="F191" t="inlineStr">
        <is>
          <t>SKÅNE LÄN</t>
        </is>
      </c>
      <c r="G191" t="inlineStr">
        <is>
          <t>KLIPPAN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40762-2021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44420</v>
      </c>
      <c r="E192" s="1" t="n">
        <v>46217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21636-2024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45442</v>
      </c>
      <c r="E193" s="1" t="n">
        <v>46217</v>
      </c>
      <c r="F193" t="inlineStr">
        <is>
          <t>SKÅNE LÄN</t>
        </is>
      </c>
      <c r="G193" t="inlineStr">
        <is>
          <t>KLIPPAN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46728-2023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45198</v>
      </c>
      <c r="E194" s="1" t="n">
        <v>46217</v>
      </c>
      <c r="F194" t="inlineStr">
        <is>
          <t>SKÅNE LÄN</t>
        </is>
      </c>
      <c r="G194" t="inlineStr">
        <is>
          <t>KLIPPAN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46217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30240-2026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46217</v>
      </c>
      <c r="F196" t="inlineStr">
        <is>
          <t>SKÅNE LÄN</t>
        </is>
      </c>
      <c r="G196" t="inlineStr">
        <is>
          <t>KLIPPAN</t>
        </is>
      </c>
      <c r="H196" t="inlineStr">
        <is>
          <t>Övriga Aktiebolag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30215-2026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46217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23874-2022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44722</v>
      </c>
      <c r="E198" s="1" t="n">
        <v>46217</v>
      </c>
      <c r="F198" t="inlineStr">
        <is>
          <t>SKÅNE LÄN</t>
        </is>
      </c>
      <c r="G198" t="inlineStr">
        <is>
          <t>KLIPPAN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38724-2023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46217</v>
      </c>
      <c r="F199" t="inlineStr">
        <is>
          <t>SKÅNE LÄN</t>
        </is>
      </c>
      <c r="G199" t="inlineStr">
        <is>
          <t>KLIPPAN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24333-2022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44726</v>
      </c>
      <c r="E200" s="1" t="n">
        <v>46217</v>
      </c>
      <c r="F200" t="inlineStr">
        <is>
          <t>SKÅNE LÄN</t>
        </is>
      </c>
      <c r="G200" t="inlineStr">
        <is>
          <t>KLIPPAN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40710-2023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45170</v>
      </c>
      <c r="E201" s="1" t="n">
        <v>46217</v>
      </c>
      <c r="F201" t="inlineStr">
        <is>
          <t>SKÅNE LÄN</t>
        </is>
      </c>
      <c r="G201" t="inlineStr">
        <is>
          <t>KLIPPAN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6447-2026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46217</v>
      </c>
      <c r="F202" t="inlineStr">
        <is>
          <t>SKÅNE LÄN</t>
        </is>
      </c>
      <c r="G202" t="inlineStr">
        <is>
          <t>KLIPPAN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37068-2023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46217</v>
      </c>
      <c r="F203" t="inlineStr">
        <is>
          <t>SKÅNE LÄN</t>
        </is>
      </c>
      <c r="G203" t="inlineStr">
        <is>
          <t>KLIPPAN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30353-2026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46209</v>
      </c>
      <c r="E204" s="1" t="n">
        <v>46217</v>
      </c>
      <c r="F204" t="inlineStr">
        <is>
          <t>SKÅNE LÄN</t>
        </is>
      </c>
      <c r="G204" t="inlineStr">
        <is>
          <t>KLIPPAN</t>
        </is>
      </c>
      <c r="H204" t="inlineStr">
        <is>
          <t>Sveaskog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39530-2023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46217</v>
      </c>
      <c r="F205" t="inlineStr">
        <is>
          <t>SKÅNE LÄN</t>
        </is>
      </c>
      <c r="G205" t="inlineStr">
        <is>
          <t>KLIPPAN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14774-2026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46101</v>
      </c>
      <c r="E206" s="1" t="n">
        <v>46217</v>
      </c>
      <c r="F206" t="inlineStr">
        <is>
          <t>SKÅNE LÄN</t>
        </is>
      </c>
      <c r="G206" t="inlineStr">
        <is>
          <t>KLIPPAN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24138-2026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46217</v>
      </c>
      <c r="F207" t="inlineStr">
        <is>
          <t>SKÅNE LÄN</t>
        </is>
      </c>
      <c r="G207" t="inlineStr">
        <is>
          <t>KLIPPAN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30346-2026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46217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30356-2026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46217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24034-2023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46217</v>
      </c>
      <c r="F210" t="inlineStr">
        <is>
          <t>SKÅNE LÄN</t>
        </is>
      </c>
      <c r="G210" t="inlineStr">
        <is>
          <t>KLIPPAN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38945-2023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46217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55291-2023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45237</v>
      </c>
      <c r="E212" s="1" t="n">
        <v>46217</v>
      </c>
      <c r="F212" t="inlineStr">
        <is>
          <t>SKÅNE LÄN</t>
        </is>
      </c>
      <c r="G212" t="inlineStr">
        <is>
          <t>KLIPPAN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30422-2026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46217</v>
      </c>
      <c r="F213" t="inlineStr">
        <is>
          <t>SKÅNE LÄN</t>
        </is>
      </c>
      <c r="G213" t="inlineStr">
        <is>
          <t>KLIPPAN</t>
        </is>
      </c>
      <c r="H213" t="inlineStr">
        <is>
          <t>Övriga Aktiebolag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46217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64224-2023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46217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27813-2023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46217</v>
      </c>
      <c r="F216" t="inlineStr">
        <is>
          <t>SKÅNE LÄN</t>
        </is>
      </c>
      <c r="G216" t="inlineStr">
        <is>
          <t>KLIPPAN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20002-2022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44697</v>
      </c>
      <c r="E217" s="1" t="n">
        <v>46217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49686-2023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46217</v>
      </c>
      <c r="F218" t="inlineStr">
        <is>
          <t>SKÅNE LÄN</t>
        </is>
      </c>
      <c r="G218" t="inlineStr">
        <is>
          <t>KLIPPAN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27452-2024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46217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30520-2026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46210</v>
      </c>
      <c r="E220" s="1" t="n">
        <v>46217</v>
      </c>
      <c r="F220" t="inlineStr">
        <is>
          <t>SKÅNE LÄN</t>
        </is>
      </c>
      <c r="G220" t="inlineStr">
        <is>
          <t>KLIPPAN</t>
        </is>
      </c>
      <c r="H220" t="inlineStr">
        <is>
          <t>Övriga Aktiebolag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53868-2022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44880</v>
      </c>
      <c r="E221" s="1" t="n">
        <v>46217</v>
      </c>
      <c r="F221" t="inlineStr">
        <is>
          <t>SKÅNE LÄN</t>
        </is>
      </c>
      <c r="G221" t="inlineStr">
        <is>
          <t>KLIPPAN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68856-2021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44530</v>
      </c>
      <c r="E222" s="1" t="n">
        <v>46217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31120-2026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46216</v>
      </c>
      <c r="E223" s="1" t="n">
        <v>46217</v>
      </c>
      <c r="F223" t="inlineStr">
        <is>
          <t>SKÅNE LÄN</t>
        </is>
      </c>
      <c r="G223" t="inlineStr">
        <is>
          <t>KLIPPAN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30514-2026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46210</v>
      </c>
      <c r="E224" s="1" t="n">
        <v>46217</v>
      </c>
      <c r="F224" t="inlineStr">
        <is>
          <t>SKÅNE LÄN</t>
        </is>
      </c>
      <c r="G224" t="inlineStr">
        <is>
          <t>KLIPPAN</t>
        </is>
      </c>
      <c r="H224" t="inlineStr">
        <is>
          <t>Övriga Aktiebolag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31121-2026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46216</v>
      </c>
      <c r="E225" s="1" t="n">
        <v>46217</v>
      </c>
      <c r="F225" t="inlineStr">
        <is>
          <t>SKÅNE LÄN</t>
        </is>
      </c>
      <c r="G225" t="inlineStr">
        <is>
          <t>KLIPPAN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31119-2026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46216</v>
      </c>
      <c r="E226" s="1" t="n">
        <v>46217</v>
      </c>
      <c r="F226" t="inlineStr">
        <is>
          <t>SKÅNE LÄN</t>
        </is>
      </c>
      <c r="G226" t="inlineStr">
        <is>
          <t>KLIPPAN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42284-2024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45562</v>
      </c>
      <c r="E227" s="1" t="n">
        <v>46217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46217</v>
      </c>
      <c r="F228" t="inlineStr">
        <is>
          <t>SKÅNE LÄN</t>
        </is>
      </c>
      <c r="G228" t="inlineStr">
        <is>
          <t>KLIPPAN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46217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39244-2022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44817</v>
      </c>
      <c r="E230" s="1" t="n">
        <v>46217</v>
      </c>
      <c r="F230" t="inlineStr">
        <is>
          <t>SKÅNE LÄN</t>
        </is>
      </c>
      <c r="G230" t="inlineStr">
        <is>
          <t>KLIPPAN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11335-2023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46217</v>
      </c>
      <c r="F231" t="inlineStr">
        <is>
          <t>SKÅNE LÄN</t>
        </is>
      </c>
      <c r="G231" t="inlineStr">
        <is>
          <t>KLIPPAN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38323-2023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46217</v>
      </c>
      <c r="F232" t="inlineStr">
        <is>
          <t>SKÅNE LÄN</t>
        </is>
      </c>
      <c r="G232" t="inlineStr">
        <is>
          <t>KLIPPAN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38325-2023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46217</v>
      </c>
      <c r="F233" t="inlineStr">
        <is>
          <t>SKÅNE LÄN</t>
        </is>
      </c>
      <c r="G233" t="inlineStr">
        <is>
          <t>KLIPPAN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44593</v>
      </c>
      <c r="E234" s="1" t="n">
        <v>46217</v>
      </c>
      <c r="F234" t="inlineStr">
        <is>
          <t>SKÅNE LÄN</t>
        </is>
      </c>
      <c r="G234" t="inlineStr">
        <is>
          <t>KLIPPAN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52877-2022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44875</v>
      </c>
      <c r="E235" s="1" t="n">
        <v>46217</v>
      </c>
      <c r="F235" t="inlineStr">
        <is>
          <t>SKÅNE LÄN</t>
        </is>
      </c>
      <c r="G235" t="inlineStr">
        <is>
          <t>KLIPPAN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46253-2024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46217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9.300000000000001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46217</v>
      </c>
      <c r="F237" t="inlineStr">
        <is>
          <t>SKÅNE LÄN</t>
        </is>
      </c>
      <c r="G237" t="inlineStr">
        <is>
          <t>KLIPPAN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46217</v>
      </c>
      <c r="F238" t="inlineStr">
        <is>
          <t>SKÅNE LÄN</t>
        </is>
      </c>
      <c r="G238" t="inlineStr">
        <is>
          <t>KLIPPAN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23681-2023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46217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37967-2024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46217</v>
      </c>
      <c r="F240" t="inlineStr">
        <is>
          <t>SKÅNE LÄN</t>
        </is>
      </c>
      <c r="G240" t="inlineStr">
        <is>
          <t>KLIPPAN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34051-2024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45523</v>
      </c>
      <c r="E241" s="1" t="n">
        <v>46217</v>
      </c>
      <c r="F241" t="inlineStr">
        <is>
          <t>SKÅNE LÄN</t>
        </is>
      </c>
      <c r="G241" t="inlineStr">
        <is>
          <t>KLIPPAN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45224</v>
      </c>
      <c r="E242" s="1" t="n">
        <v>46217</v>
      </c>
      <c r="F242" t="inlineStr">
        <is>
          <t>SKÅNE LÄN</t>
        </is>
      </c>
      <c r="G242" t="inlineStr">
        <is>
          <t>KLIPPAN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47870-2022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44855</v>
      </c>
      <c r="E243" s="1" t="n">
        <v>46217</v>
      </c>
      <c r="F243" t="inlineStr">
        <is>
          <t>SKÅNE LÄN</t>
        </is>
      </c>
      <c r="G243" t="inlineStr">
        <is>
          <t>KLIPPAN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15070-2024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45399</v>
      </c>
      <c r="E244" s="1" t="n">
        <v>46217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45751</v>
      </c>
      <c r="E245" s="1" t="n">
        <v>46217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13995-2025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45739</v>
      </c>
      <c r="E246" s="1" t="n">
        <v>46217</v>
      </c>
      <c r="F246" t="inlineStr">
        <is>
          <t>SKÅNE LÄN</t>
        </is>
      </c>
      <c r="G246" t="inlineStr">
        <is>
          <t>KLIPPAN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11497-2023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46217</v>
      </c>
      <c r="F247" t="inlineStr">
        <is>
          <t>SKÅNE LÄN</t>
        </is>
      </c>
      <c r="G247" t="inlineStr">
        <is>
          <t>KLIPPAN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45596-2024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46217</v>
      </c>
      <c r="F248" t="inlineStr">
        <is>
          <t>SKÅNE LÄN</t>
        </is>
      </c>
      <c r="G248" t="inlineStr">
        <is>
          <t>KLIPPAN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15812-2024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45404</v>
      </c>
      <c r="E249" s="1" t="n">
        <v>46217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25069-2023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45086</v>
      </c>
      <c r="E250" s="1" t="n">
        <v>46217</v>
      </c>
      <c r="F250" t="inlineStr">
        <is>
          <t>SKÅNE LÄN</t>
        </is>
      </c>
      <c r="G250" t="inlineStr">
        <is>
          <t>KLIPPAN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49370-2023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46217</v>
      </c>
      <c r="F251" t="inlineStr">
        <is>
          <t>SKÅNE LÄN</t>
        </is>
      </c>
      <c r="G251" t="inlineStr">
        <is>
          <t>KLIPPAN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61682-2023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45264</v>
      </c>
      <c r="E252" s="1" t="n">
        <v>46217</v>
      </c>
      <c r="F252" t="inlineStr">
        <is>
          <t>SKÅNE LÄN</t>
        </is>
      </c>
      <c r="G252" t="inlineStr">
        <is>
          <t>KLIPPAN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7746-2024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46217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40173-2024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46217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55613-2022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46217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46217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49989-2024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46217</v>
      </c>
      <c r="F257" t="inlineStr">
        <is>
          <t>SKÅNE LÄN</t>
        </is>
      </c>
      <c r="G257" t="inlineStr">
        <is>
          <t>KLIPPAN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44228-2024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45573</v>
      </c>
      <c r="E258" s="1" t="n">
        <v>46217</v>
      </c>
      <c r="F258" t="inlineStr">
        <is>
          <t>SKÅNE LÄN</t>
        </is>
      </c>
      <c r="G258" t="inlineStr">
        <is>
          <t>KLIPPAN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46217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24815-2025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46217</v>
      </c>
      <c r="F260" t="inlineStr">
        <is>
          <t>SKÅNE LÄN</t>
        </is>
      </c>
      <c r="G260" t="inlineStr">
        <is>
          <t>KLIPPAN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27898-2025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46217</v>
      </c>
      <c r="F261" t="inlineStr">
        <is>
          <t>SKÅNE LÄN</t>
        </is>
      </c>
      <c r="G261" t="inlineStr">
        <is>
          <t>KLIPPAN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10544-2025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45721</v>
      </c>
      <c r="E262" s="1" t="n">
        <v>46217</v>
      </c>
      <c r="F262" t="inlineStr">
        <is>
          <t>SKÅNE LÄN</t>
        </is>
      </c>
      <c r="G262" t="inlineStr">
        <is>
          <t>KLIPPAN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59482-2024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46217</v>
      </c>
      <c r="F263" t="inlineStr">
        <is>
          <t>SKÅNE LÄN</t>
        </is>
      </c>
      <c r="G263" t="inlineStr">
        <is>
          <t>KLIPPAN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27010-2023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45094</v>
      </c>
      <c r="E264" s="1" t="n">
        <v>46217</v>
      </c>
      <c r="F264" t="inlineStr">
        <is>
          <t>SKÅNE LÄN</t>
        </is>
      </c>
      <c r="G264" t="inlineStr">
        <is>
          <t>KLIPPAN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29284-2025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45824</v>
      </c>
      <c r="E265" s="1" t="n">
        <v>46217</v>
      </c>
      <c r="F265" t="inlineStr">
        <is>
          <t>SKÅNE LÄN</t>
        </is>
      </c>
      <c r="G265" t="inlineStr">
        <is>
          <t>KLIPPAN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32132-2025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45835</v>
      </c>
      <c r="E266" s="1" t="n">
        <v>46217</v>
      </c>
      <c r="F266" t="inlineStr">
        <is>
          <t>SKÅNE LÄN</t>
        </is>
      </c>
      <c r="G266" t="inlineStr">
        <is>
          <t>KLIPPAN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22120-2025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46217</v>
      </c>
      <c r="F267" t="inlineStr">
        <is>
          <t>SKÅNE LÄN</t>
        </is>
      </c>
      <c r="G267" t="inlineStr">
        <is>
          <t>KLIPPAN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704-2022</t>
        </is>
      </c>
      <c r="B268" t="inlineStr">
        <is>
          <t>samrådsanmälan</t>
        </is>
      </c>
      <c r="C268" t="inlineStr">
        <is>
          <t>Skogsbilväg</t>
        </is>
      </c>
      <c r="D268" s="1" t="n">
        <v>44599</v>
      </c>
      <c r="E268" s="1" t="n">
        <v>46217</v>
      </c>
      <c r="F268" t="inlineStr">
        <is>
          <t>SKÅNE LÄN</t>
        </is>
      </c>
      <c r="G268" t="inlineStr">
        <is>
          <t>KLIPPAN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2678-2022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46217</v>
      </c>
      <c r="F269" t="inlineStr">
        <is>
          <t>SKÅNE LÄN</t>
        </is>
      </c>
      <c r="G269" t="inlineStr">
        <is>
          <t>KLIPPAN</t>
        </is>
      </c>
      <c r="I269" t="n">
        <v>15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2690-2022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44701</v>
      </c>
      <c r="E270" s="1" t="n">
        <v>46217</v>
      </c>
      <c r="F270" t="inlineStr">
        <is>
          <t>SKÅNE LÄN</t>
        </is>
      </c>
      <c r="G270" t="inlineStr">
        <is>
          <t>KLIPPAN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3541-2023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45209</v>
      </c>
      <c r="E271" s="1" t="n">
        <v>46217</v>
      </c>
      <c r="F271" t="inlineStr">
        <is>
          <t>SKÅNE LÄN</t>
        </is>
      </c>
      <c r="G271" t="inlineStr">
        <is>
          <t>KLIPPAN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5970-2022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44858</v>
      </c>
      <c r="E272" s="1" t="n">
        <v>46217</v>
      </c>
      <c r="F272" t="inlineStr">
        <is>
          <t>SKÅNE LÄN</t>
        </is>
      </c>
      <c r="G272" t="inlineStr">
        <is>
          <t>KLIPPAN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116-2023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44936</v>
      </c>
      <c r="E273" s="1" t="n">
        <v>46217</v>
      </c>
      <c r="F273" t="inlineStr">
        <is>
          <t>SKÅNE LÄN</t>
        </is>
      </c>
      <c r="G273" t="inlineStr">
        <is>
          <t>KLIPPAN</t>
        </is>
      </c>
      <c r="I273" t="n">
        <v>51.8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525-2024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45348</v>
      </c>
      <c r="E274" s="1" t="n">
        <v>46217</v>
      </c>
      <c r="F274" t="inlineStr">
        <is>
          <t>SKÅNE LÄN</t>
        </is>
      </c>
      <c r="G274" t="inlineStr">
        <is>
          <t>KLIPPAN</t>
        </is>
      </c>
      <c r="I274" t="n">
        <v>22.3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1710-2024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46217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1713-2024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46217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3796-2024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46217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3804-2024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46217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1716-2024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46217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29.5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110-2023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44936</v>
      </c>
      <c r="E280" s="1" t="n">
        <v>46217</v>
      </c>
      <c r="F280" t="inlineStr">
        <is>
          <t>SKÅNE LÄN</t>
        </is>
      </c>
      <c r="G280" t="inlineStr">
        <is>
          <t>KLIPPAN</t>
        </is>
      </c>
      <c r="I280" t="n">
        <v>26.9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4865-2022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44805</v>
      </c>
      <c r="E281" s="1" t="n">
        <v>46217</v>
      </c>
      <c r="F281" t="inlineStr">
        <is>
          <t>SKÅNE LÄN</t>
        </is>
      </c>
      <c r="G281" t="inlineStr">
        <is>
          <t>KLIPPAN</t>
        </is>
      </c>
      <c r="I281" t="n">
        <v>29.1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3792-2024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46217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2225-2023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45109</v>
      </c>
      <c r="E283" s="1" t="n">
        <v>46217</v>
      </c>
      <c r="F283" t="inlineStr">
        <is>
          <t>SKÅNE LÄN</t>
        </is>
      </c>
      <c r="G283" t="inlineStr">
        <is>
          <t>KLIPPAN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5892-2022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44853</v>
      </c>
      <c r="E284" s="1" t="n">
        <v>46217</v>
      </c>
      <c r="F284" t="inlineStr">
        <is>
          <t>SKÅNE LÄN</t>
        </is>
      </c>
      <c r="G284" t="inlineStr">
        <is>
          <t>KLIPPAN</t>
        </is>
      </c>
      <c r="I284" t="n">
        <v>24.6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5986-2022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44859</v>
      </c>
      <c r="E285" s="1" t="n">
        <v>46217</v>
      </c>
      <c r="F285" t="inlineStr">
        <is>
          <t>SKÅNE LÄN</t>
        </is>
      </c>
      <c r="G285" t="inlineStr">
        <is>
          <t>KLIPPAN</t>
        </is>
      </c>
      <c r="I285" t="n">
        <v>19.6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4186-2024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45579</v>
      </c>
      <c r="E286" s="1" t="n">
        <v>46217</v>
      </c>
      <c r="F286" t="inlineStr">
        <is>
          <t>SKÅNE LÄN</t>
        </is>
      </c>
      <c r="G286" t="inlineStr">
        <is>
          <t>KLIPPAN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3806-2024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46217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1606-2025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45798</v>
      </c>
      <c r="E288" s="1" t="n">
        <v>46217</v>
      </c>
      <c r="F288" t="inlineStr">
        <is>
          <t>SKÅNE LÄN</t>
        </is>
      </c>
      <c r="G288" t="inlineStr">
        <is>
          <t>KLIPPAN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2907-2025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45947</v>
      </c>
      <c r="E289" s="1" t="n">
        <v>46217</v>
      </c>
      <c r="F289" t="inlineStr">
        <is>
          <t>SKÅNE LÄN</t>
        </is>
      </c>
      <c r="G289" t="inlineStr">
        <is>
          <t>KLIPPAN</t>
        </is>
      </c>
      <c r="I289" t="n">
        <v>48.2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83-2026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46034</v>
      </c>
      <c r="E290" s="1" t="n">
        <v>46217</v>
      </c>
      <c r="F290" t="inlineStr">
        <is>
          <t>SKÅNE LÄN</t>
        </is>
      </c>
      <c r="G290" t="inlineStr">
        <is>
          <t>KLIPPAN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>
      <c r="A291" t="inlineStr">
        <is>
          <t>S 166-2026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46044</v>
      </c>
      <c r="E291" s="1" t="n">
        <v>46217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2026-07-14T08:58:49Z</dcterms:created>
  <dcterms:modified xmlns:dcterms="http://purl.org/dc/terms/" xmlns:xsi="http://www.w3.org/2001/XMLSchema-instance" xsi:type="dcterms:W3CDTF">2026-07-14T08:58:49Z</dcterms:modified>
</cp:coreProperties>
</file>