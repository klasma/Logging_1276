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46270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46270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46270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46270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46270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46270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46270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46270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46270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46270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46270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46270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46270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46270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46270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46270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46270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46270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46270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46270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46270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46270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46270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46270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46270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46270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46270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46270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46270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46270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46270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HYPERLINK("https://klasma.github.io/Logging_1276/artfynd/A 6446-2026 artfynd.xlsx", "A 6446-2026")</f>
        <v/>
      </c>
      <c r="X32">
        <f>HYPERLINK("https://klasma.github.io/Logging_1276/kartor/A 6446-2026 karta.png", "A 6446-2026")</f>
        <v/>
      </c>
      <c r="Y32">
        <f>HYPERLINK("https://klasma.github.io/Logging_1276/kartor_geotiff/A 6446-2026 georefererad karta.tif", "A 6446-2026")</f>
        <v/>
      </c>
      <c r="AA32">
        <f>HYPERLINK("https://klasma.github.io/Logging_1276/klagomål/A 6446-2026 FSC-klagomål.docx", "A 6446-2026")</f>
        <v/>
      </c>
      <c r="AB32">
        <f>HYPERLINK("https://klasma.github.io/Logging_1276/klagomålsmail/A 6446-2026 FSC-klagomål mail.docx", "A 6446-2026")</f>
        <v/>
      </c>
      <c r="AC32">
        <f>HYPERLINK("https://klasma.github.io/Logging_1276/tillsyn/A 6446-2026 tillsynsbegäran.docx", "A 6446-2026")</f>
        <v/>
      </c>
      <c r="AD32">
        <f>HYPERLINK("https://klasma.github.io/Logging_1276/tillsynsmail/A 6446-2026 tillsynsbegäran mail.docx", "A 6446-2026")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46270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46270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46270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46270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46270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Bäckbräsma</t>
        </is>
      </c>
      <c r="W37">
        <f>HYPERLINK("https://klasma.github.io/Logging_1276/artfynd/A 21788-2026 artfynd.xlsx", "A 21788-2026")</f>
        <v/>
      </c>
      <c r="X37">
        <f>HYPERLINK("https://klasma.github.io/Logging_1276/kartor/A 21788-2026 karta.png", "A 21788-2026")</f>
        <v/>
      </c>
      <c r="Y37">
        <f>HYPERLINK("https://klasma.github.io/Logging_1276/kartor_geotiff/A 21788-2026 georefererad karta.tif", "A 21788-2026")</f>
        <v/>
      </c>
      <c r="AA37">
        <f>HYPERLINK("https://klasma.github.io/Logging_1276/klagomål/A 21788-2026 FSC-klagomål.docx", "A 21788-2026")</f>
        <v/>
      </c>
      <c r="AB37">
        <f>HYPERLINK("https://klasma.github.io/Logging_1276/klagomålsmail/A 21788-2026 FSC-klagomål mail.docx", "A 21788-2026")</f>
        <v/>
      </c>
      <c r="AC37">
        <f>HYPERLINK("https://klasma.github.io/Logging_1276/tillsyn/A 21788-2026 tillsynsbegäran.docx", "A 21788-2026")</f>
        <v/>
      </c>
      <c r="AD37">
        <f>HYPERLINK("https://klasma.github.io/Logging_1276/tillsynsmail/A 21788-2026 tillsynsbegäran mail.docx", "A 21788-2026")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46270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46270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46270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46270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46270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46270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46270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46270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46270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46270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46270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46270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46270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46270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46270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46270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46270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46270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46270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46270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46270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46270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46270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46270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46270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46270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46270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46270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46270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46270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46270</v>
      </c>
      <c r="F68" t="inlineStr">
        <is>
          <t>SKÅNE LÄN</t>
        </is>
      </c>
      <c r="G68" t="inlineStr">
        <is>
          <t>KLIPPAN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46270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45523</v>
      </c>
      <c r="E70" s="1" t="n">
        <v>46270</v>
      </c>
      <c r="F70" t="inlineStr">
        <is>
          <t>SKÅNE LÄN</t>
        </is>
      </c>
      <c r="G70" t="inlineStr">
        <is>
          <t>KLIPPAN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46270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46270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46270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46270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46270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44930</v>
      </c>
      <c r="E76" s="1" t="n">
        <v>46270</v>
      </c>
      <c r="F76" t="inlineStr">
        <is>
          <t>SKÅNE LÄN</t>
        </is>
      </c>
      <c r="G76" t="inlineStr">
        <is>
          <t>KLIPPAN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46270</v>
      </c>
      <c r="F77" t="inlineStr">
        <is>
          <t>SKÅNE LÄN</t>
        </is>
      </c>
      <c r="G77" t="inlineStr">
        <is>
          <t>KLIPPAN</t>
        </is>
      </c>
      <c r="H77" t="inlineStr">
        <is>
          <t>Sveaskog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46270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46270</v>
      </c>
      <c r="F79" t="inlineStr">
        <is>
          <t>SKÅNE LÄN</t>
        </is>
      </c>
      <c r="G79" t="inlineStr">
        <is>
          <t>KLIPPAN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45328</v>
      </c>
      <c r="E80" s="1" t="n">
        <v>46270</v>
      </c>
      <c r="F80" t="inlineStr">
        <is>
          <t>SKÅNE LÄN</t>
        </is>
      </c>
      <c r="G80" t="inlineStr">
        <is>
          <t>KLIPPAN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46270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46270</v>
      </c>
      <c r="F82" t="inlineStr">
        <is>
          <t>SKÅNE LÄN</t>
        </is>
      </c>
      <c r="G82" t="inlineStr">
        <is>
          <t>KLIPPAN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45573</v>
      </c>
      <c r="E83" s="1" t="n">
        <v>46270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46270</v>
      </c>
      <c r="F84" t="inlineStr">
        <is>
          <t>SKÅNE LÄN</t>
        </is>
      </c>
      <c r="G84" t="inlineStr">
        <is>
          <t>KLIPPAN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44531</v>
      </c>
      <c r="E85" s="1" t="n">
        <v>46270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46270</v>
      </c>
      <c r="F86" t="inlineStr">
        <is>
          <t>SKÅNE LÄN</t>
        </is>
      </c>
      <c r="G86" t="inlineStr">
        <is>
          <t>KLIPPAN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46270</v>
      </c>
      <c r="F87" t="inlineStr">
        <is>
          <t>SKÅNE LÄN</t>
        </is>
      </c>
      <c r="G87" t="inlineStr">
        <is>
          <t>KLIPPAN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46270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45086</v>
      </c>
      <c r="E89" s="1" t="n">
        <v>46270</v>
      </c>
      <c r="F89" t="inlineStr">
        <is>
          <t>SKÅNE LÄN</t>
        </is>
      </c>
      <c r="G89" t="inlineStr">
        <is>
          <t>KLIPPAN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46270</v>
      </c>
      <c r="F90" t="inlineStr">
        <is>
          <t>SKÅNE LÄN</t>
        </is>
      </c>
      <c r="G90" t="inlineStr">
        <is>
          <t>KLIPPAN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46270</v>
      </c>
      <c r="F91" t="inlineStr">
        <is>
          <t>SKÅNE LÄN</t>
        </is>
      </c>
      <c r="G91" t="inlineStr">
        <is>
          <t>KLIPPAN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46270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45094</v>
      </c>
      <c r="E93" s="1" t="n">
        <v>46270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46270</v>
      </c>
      <c r="F94" t="inlineStr">
        <is>
          <t>SKÅNE LÄN</t>
        </is>
      </c>
      <c r="G94" t="inlineStr">
        <is>
          <t>KLIPPAN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45040</v>
      </c>
      <c r="E95" s="1" t="n">
        <v>46270</v>
      </c>
      <c r="F95" t="inlineStr">
        <is>
          <t>SKÅNE LÄN</t>
        </is>
      </c>
      <c r="G95" t="inlineStr">
        <is>
          <t>KLIPPAN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46270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60791-2023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45260</v>
      </c>
      <c r="E97" s="1" t="n">
        <v>46270</v>
      </c>
      <c r="F97" t="inlineStr">
        <is>
          <t>SKÅNE LÄN</t>
        </is>
      </c>
      <c r="G97" t="inlineStr">
        <is>
          <t>KLIPPAN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29284-2025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45824</v>
      </c>
      <c r="E98" s="1" t="n">
        <v>46270</v>
      </c>
      <c r="F98" t="inlineStr">
        <is>
          <t>SKÅNE LÄN</t>
        </is>
      </c>
      <c r="G98" t="inlineStr">
        <is>
          <t>KLIPPAN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46270</v>
      </c>
      <c r="F99" t="inlineStr">
        <is>
          <t>SKÅNE LÄN</t>
        </is>
      </c>
      <c r="G99" t="inlineStr">
        <is>
          <t>KLIPPAN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45077</v>
      </c>
      <c r="E100" s="1" t="n">
        <v>46270</v>
      </c>
      <c r="F100" t="inlineStr">
        <is>
          <t>SKÅNE LÄN</t>
        </is>
      </c>
      <c r="G100" t="inlineStr">
        <is>
          <t>KLIPPAN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46270</v>
      </c>
      <c r="F101" t="inlineStr">
        <is>
          <t>SKÅNE LÄN</t>
        </is>
      </c>
      <c r="G101" t="inlineStr">
        <is>
          <t>KLIPPAN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45847</v>
      </c>
      <c r="E102" s="1" t="n">
        <v>46270</v>
      </c>
      <c r="F102" t="inlineStr">
        <is>
          <t>SKÅNE LÄN</t>
        </is>
      </c>
      <c r="G102" t="inlineStr">
        <is>
          <t>KLIPPAN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46270</v>
      </c>
      <c r="F103" t="inlineStr">
        <is>
          <t>SKÅNE LÄN</t>
        </is>
      </c>
      <c r="G103" t="inlineStr">
        <is>
          <t>KLIPPAN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46270</v>
      </c>
      <c r="F104" t="inlineStr">
        <is>
          <t>SKÅNE LÄN</t>
        </is>
      </c>
      <c r="G104" t="inlineStr">
        <is>
          <t>KLIPPAN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46270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46270</v>
      </c>
      <c r="F106" t="inlineStr">
        <is>
          <t>SKÅNE LÄN</t>
        </is>
      </c>
      <c r="G106" t="inlineStr">
        <is>
          <t>KLIPPAN</t>
        </is>
      </c>
      <c r="H106" t="inlineStr">
        <is>
          <t>Övriga Aktiebolag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46270</v>
      </c>
      <c r="F107" t="inlineStr">
        <is>
          <t>SKÅNE LÄN</t>
        </is>
      </c>
      <c r="G107" t="inlineStr">
        <is>
          <t>KLIPPAN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45739</v>
      </c>
      <c r="E108" s="1" t="n">
        <v>46270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46270</v>
      </c>
      <c r="F109" t="inlineStr">
        <is>
          <t>SKÅNE LÄN</t>
        </is>
      </c>
      <c r="G109" t="inlineStr">
        <is>
          <t>KLIPPAN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46270</v>
      </c>
      <c r="F110" t="inlineStr">
        <is>
          <t>SKÅNE LÄN</t>
        </is>
      </c>
      <c r="G110" t="inlineStr">
        <is>
          <t>KLIPPAN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46270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46270</v>
      </c>
      <c r="F112" t="inlineStr">
        <is>
          <t>SKÅNE LÄN</t>
        </is>
      </c>
      <c r="G112" t="inlineStr">
        <is>
          <t>KLIPPAN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46270</v>
      </c>
      <c r="F113" t="inlineStr">
        <is>
          <t>SKÅNE LÄN</t>
        </is>
      </c>
      <c r="G113" t="inlineStr">
        <is>
          <t>KLIPPAN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45055</v>
      </c>
      <c r="E114" s="1" t="n">
        <v>46270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46270</v>
      </c>
      <c r="F115" t="inlineStr">
        <is>
          <t>SKÅNE LÄN</t>
        </is>
      </c>
      <c r="G115" t="inlineStr">
        <is>
          <t>KLIPPAN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46270</v>
      </c>
      <c r="F116" t="inlineStr">
        <is>
          <t>SKÅNE LÄN</t>
        </is>
      </c>
      <c r="G116" t="inlineStr">
        <is>
          <t>KLIPPAN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46270</v>
      </c>
      <c r="F117" t="inlineStr">
        <is>
          <t>SKÅNE LÄN</t>
        </is>
      </c>
      <c r="G117" t="inlineStr">
        <is>
          <t>KLIPPAN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46270</v>
      </c>
      <c r="F118" t="inlineStr">
        <is>
          <t>SKÅNE LÄN</t>
        </is>
      </c>
      <c r="G118" t="inlineStr">
        <is>
          <t>KLIPPAN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51396-2025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45950</v>
      </c>
      <c r="E119" s="1" t="n">
        <v>46270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46270</v>
      </c>
      <c r="F120" t="inlineStr">
        <is>
          <t>SKÅNE LÄN</t>
        </is>
      </c>
      <c r="G120" t="inlineStr">
        <is>
          <t>KLIPPAN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52286-2023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45224</v>
      </c>
      <c r="E121" s="1" t="n">
        <v>46270</v>
      </c>
      <c r="F121" t="inlineStr">
        <is>
          <t>SKÅNE LÄN</t>
        </is>
      </c>
      <c r="G121" t="inlineStr">
        <is>
          <t>KLIPPAN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46270</v>
      </c>
      <c r="F122" t="inlineStr">
        <is>
          <t>SKÅNE LÄN</t>
        </is>
      </c>
      <c r="G122" t="inlineStr">
        <is>
          <t>KLIPPAN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46270</v>
      </c>
      <c r="F123" t="inlineStr">
        <is>
          <t>SKÅNE LÄN</t>
        </is>
      </c>
      <c r="G123" t="inlineStr">
        <is>
          <t>KLIPPAN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44726</v>
      </c>
      <c r="E124" s="1" t="n">
        <v>46270</v>
      </c>
      <c r="F124" t="inlineStr">
        <is>
          <t>SKÅNE LÄN</t>
        </is>
      </c>
      <c r="G124" t="inlineStr">
        <is>
          <t>KLIPPAN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46270</v>
      </c>
      <c r="F125" t="inlineStr">
        <is>
          <t>SKÅNE LÄN</t>
        </is>
      </c>
      <c r="G125" t="inlineStr">
        <is>
          <t>KLIPPAN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56089-2021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44477</v>
      </c>
      <c r="E126" s="1" t="n">
        <v>46270</v>
      </c>
      <c r="F126" t="inlineStr">
        <is>
          <t>SKÅNE LÄN</t>
        </is>
      </c>
      <c r="G126" t="inlineStr">
        <is>
          <t>KLIPPAN</t>
        </is>
      </c>
      <c r="I126" t="n">
        <v>20.9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46270</v>
      </c>
      <c r="F127" t="inlineStr">
        <is>
          <t>SKÅNE LÄN</t>
        </is>
      </c>
      <c r="G127" t="inlineStr">
        <is>
          <t>KLIPPAN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46270</v>
      </c>
      <c r="F128" t="inlineStr">
        <is>
          <t>SKÅNE LÄN</t>
        </is>
      </c>
      <c r="G128" t="inlineStr">
        <is>
          <t>KLIPPAN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46270</v>
      </c>
      <c r="F129" t="inlineStr">
        <is>
          <t>SKÅNE LÄN</t>
        </is>
      </c>
      <c r="G129" t="inlineStr">
        <is>
          <t>KLIPPAN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45972</v>
      </c>
      <c r="E130" s="1" t="n">
        <v>46270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55833-2023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45239</v>
      </c>
      <c r="E131" s="1" t="n">
        <v>46270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46270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45055</v>
      </c>
      <c r="E133" s="1" t="n">
        <v>46270</v>
      </c>
      <c r="F133" t="inlineStr">
        <is>
          <t>SKÅNE LÄN</t>
        </is>
      </c>
      <c r="G133" t="inlineStr">
        <is>
          <t>KLIPPAN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45673</v>
      </c>
      <c r="E134" s="1" t="n">
        <v>46270</v>
      </c>
      <c r="F134" t="inlineStr">
        <is>
          <t>SKÅNE LÄN</t>
        </is>
      </c>
      <c r="G134" t="inlineStr">
        <is>
          <t>KLIPPAN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46270</v>
      </c>
      <c r="F135" t="inlineStr">
        <is>
          <t>SKÅNE LÄN</t>
        </is>
      </c>
      <c r="G135" t="inlineStr">
        <is>
          <t>KLIPPAN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46270</v>
      </c>
      <c r="F136" t="inlineStr">
        <is>
          <t>SKÅNE LÄN</t>
        </is>
      </c>
      <c r="G136" t="inlineStr">
        <is>
          <t>KLIPPAN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46270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46270</v>
      </c>
      <c r="F138" t="inlineStr">
        <is>
          <t>SKÅNE LÄN</t>
        </is>
      </c>
      <c r="G138" t="inlineStr">
        <is>
          <t>KLIPPAN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45264</v>
      </c>
      <c r="E139" s="1" t="n">
        <v>46270</v>
      </c>
      <c r="F139" t="inlineStr">
        <is>
          <t>SKÅNE LÄN</t>
        </is>
      </c>
      <c r="G139" t="inlineStr">
        <is>
          <t>KLIPPAN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44992</v>
      </c>
      <c r="E140" s="1" t="n">
        <v>46270</v>
      </c>
      <c r="F140" t="inlineStr">
        <is>
          <t>SKÅNE LÄN</t>
        </is>
      </c>
      <c r="G140" t="inlineStr">
        <is>
          <t>KLIPPAN</t>
        </is>
      </c>
      <c r="H140" t="inlineStr">
        <is>
          <t>Övriga Aktiebolag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45223</v>
      </c>
      <c r="E141" s="1" t="n">
        <v>46270</v>
      </c>
      <c r="F141" t="inlineStr">
        <is>
          <t>SKÅNE LÄN</t>
        </is>
      </c>
      <c r="G141" t="inlineStr">
        <is>
          <t>KLIPPAN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45104</v>
      </c>
      <c r="E142" s="1" t="n">
        <v>46270</v>
      </c>
      <c r="F142" t="inlineStr">
        <is>
          <t>SKÅNE LÄN</t>
        </is>
      </c>
      <c r="G142" t="inlineStr">
        <is>
          <t>KLIPPAN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46270</v>
      </c>
      <c r="F143" t="inlineStr">
        <is>
          <t>SKÅNE LÄN</t>
        </is>
      </c>
      <c r="G143" t="inlineStr">
        <is>
          <t>KLIPPAN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46270</v>
      </c>
      <c r="F144" t="inlineStr">
        <is>
          <t>SKÅNE LÄN</t>
        </is>
      </c>
      <c r="G144" t="inlineStr">
        <is>
          <t>KLIPPAN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46270</v>
      </c>
      <c r="F145" t="inlineStr">
        <is>
          <t>SKÅNE LÄN</t>
        </is>
      </c>
      <c r="G145" t="inlineStr">
        <is>
          <t>KLIPPAN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46728-2023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45198</v>
      </c>
      <c r="E146" s="1" t="n">
        <v>46270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46270</v>
      </c>
      <c r="F147" t="inlineStr">
        <is>
          <t>SKÅNE LÄN</t>
        </is>
      </c>
      <c r="G147" t="inlineStr">
        <is>
          <t>KLIPPAN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46270</v>
      </c>
      <c r="F148" t="inlineStr">
        <is>
          <t>SKÅNE LÄN</t>
        </is>
      </c>
      <c r="G148" t="inlineStr">
        <is>
          <t>KLIPPAN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46270</v>
      </c>
      <c r="F149" t="inlineStr">
        <is>
          <t>SKÅNE LÄN</t>
        </is>
      </c>
      <c r="G149" t="inlineStr">
        <is>
          <t>KLIPPAN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46270</v>
      </c>
      <c r="F150" t="inlineStr">
        <is>
          <t>SKÅNE LÄN</t>
        </is>
      </c>
      <c r="G150" t="inlineStr">
        <is>
          <t>KLIPPAN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46270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46270</v>
      </c>
      <c r="F152" t="inlineStr">
        <is>
          <t>SKÅNE LÄN</t>
        </is>
      </c>
      <c r="G152" t="inlineStr">
        <is>
          <t>KLIPPAN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46270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46270</v>
      </c>
      <c r="F154" t="inlineStr">
        <is>
          <t>SKÅNE LÄN</t>
        </is>
      </c>
      <c r="G154" t="inlineStr">
        <is>
          <t>KLIPPAN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46270</v>
      </c>
      <c r="F155" t="inlineStr">
        <is>
          <t>SKÅNE LÄN</t>
        </is>
      </c>
      <c r="G155" t="inlineStr">
        <is>
          <t>KLIPPAN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46270</v>
      </c>
      <c r="F156" t="inlineStr">
        <is>
          <t>SKÅNE LÄN</t>
        </is>
      </c>
      <c r="G156" t="inlineStr">
        <is>
          <t>KLIPPAN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46270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46270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46270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46270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46270</v>
      </c>
      <c r="F161" t="inlineStr">
        <is>
          <t>SKÅNE LÄN</t>
        </is>
      </c>
      <c r="G161" t="inlineStr">
        <is>
          <t>KLIPPAN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69041-2021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44529</v>
      </c>
      <c r="E162" s="1" t="n">
        <v>46270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46270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46270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46270</v>
      </c>
      <c r="F165" t="inlineStr">
        <is>
          <t>SKÅNE LÄN</t>
        </is>
      </c>
      <c r="G165" t="inlineStr">
        <is>
          <t>KLIPPAN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45013</v>
      </c>
      <c r="E166" s="1" t="n">
        <v>46270</v>
      </c>
      <c r="F166" t="inlineStr">
        <is>
          <t>SKÅNE LÄN</t>
        </is>
      </c>
      <c r="G166" t="inlineStr">
        <is>
          <t>KLIPPAN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46270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46270</v>
      </c>
      <c r="F168" t="inlineStr">
        <is>
          <t>SKÅNE LÄN</t>
        </is>
      </c>
      <c r="G168" t="inlineStr">
        <is>
          <t>KLIPPAN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46270</v>
      </c>
      <c r="F169" t="inlineStr">
        <is>
          <t>SKÅNE LÄN</t>
        </is>
      </c>
      <c r="G169" t="inlineStr">
        <is>
          <t>KLIPPAN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46270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45739</v>
      </c>
      <c r="E171" s="1" t="n">
        <v>46270</v>
      </c>
      <c r="F171" t="inlineStr">
        <is>
          <t>SKÅNE LÄN</t>
        </is>
      </c>
      <c r="G171" t="inlineStr">
        <is>
          <t>KLIPPAN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46270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46270</v>
      </c>
      <c r="F173" t="inlineStr">
        <is>
          <t>SKÅNE LÄN</t>
        </is>
      </c>
      <c r="G173" t="inlineStr">
        <is>
          <t>KLIPPAN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46270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46270</v>
      </c>
      <c r="F175" t="inlineStr">
        <is>
          <t>SKÅNE LÄN</t>
        </is>
      </c>
      <c r="G175" t="inlineStr">
        <is>
          <t>KLIPPAN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46270</v>
      </c>
      <c r="F176" t="inlineStr">
        <is>
          <t>SKÅNE LÄN</t>
        </is>
      </c>
      <c r="G176" t="inlineStr">
        <is>
          <t>KLIPPAN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45641-2022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44845</v>
      </c>
      <c r="E177" s="1" t="n">
        <v>46270</v>
      </c>
      <c r="F177" t="inlineStr">
        <is>
          <t>SKÅNE LÄN</t>
        </is>
      </c>
      <c r="G177" t="inlineStr">
        <is>
          <t>KLIPPAN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45442</v>
      </c>
      <c r="E178" s="1" t="n">
        <v>46270</v>
      </c>
      <c r="F178" t="inlineStr">
        <is>
          <t>SKÅNE LÄN</t>
        </is>
      </c>
      <c r="G178" t="inlineStr">
        <is>
          <t>KLIPPAN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46149</v>
      </c>
      <c r="E179" s="1" t="n">
        <v>46270</v>
      </c>
      <c r="F179" t="inlineStr">
        <is>
          <t>SKÅNE LÄN</t>
        </is>
      </c>
      <c r="G179" t="inlineStr">
        <is>
          <t>KLIPPAN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46270</v>
      </c>
      <c r="F180" t="inlineStr">
        <is>
          <t>SKÅNE LÄN</t>
        </is>
      </c>
      <c r="G180" t="inlineStr">
        <is>
          <t>KLIPPAN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46270</v>
      </c>
      <c r="F181" t="inlineStr">
        <is>
          <t>SKÅNE LÄN</t>
        </is>
      </c>
      <c r="G181" t="inlineStr">
        <is>
          <t>KLIPPAN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46270</v>
      </c>
      <c r="F182" t="inlineStr">
        <is>
          <t>SKÅNE LÄN</t>
        </is>
      </c>
      <c r="G182" t="inlineStr">
        <is>
          <t>KLIPPAN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46270</v>
      </c>
      <c r="F183" t="inlineStr">
        <is>
          <t>SKÅNE LÄN</t>
        </is>
      </c>
      <c r="G183" t="inlineStr">
        <is>
          <t>KLIPPAN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46270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45013</v>
      </c>
      <c r="E185" s="1" t="n">
        <v>46270</v>
      </c>
      <c r="F185" t="inlineStr">
        <is>
          <t>SKÅNE LÄN</t>
        </is>
      </c>
      <c r="G185" t="inlineStr">
        <is>
          <t>KLIPPAN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46270</v>
      </c>
      <c r="F186" t="inlineStr">
        <is>
          <t>SKÅNE LÄN</t>
        </is>
      </c>
      <c r="G186" t="inlineStr">
        <is>
          <t>KLIPPAN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46270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46270</v>
      </c>
      <c r="F188" t="inlineStr">
        <is>
          <t>SKÅNE LÄN</t>
        </is>
      </c>
      <c r="G188" t="inlineStr">
        <is>
          <t>KLIPPAN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46270</v>
      </c>
      <c r="F189" t="inlineStr">
        <is>
          <t>SKÅNE LÄN</t>
        </is>
      </c>
      <c r="G189" t="inlineStr">
        <is>
          <t>KLIPPAN</t>
        </is>
      </c>
      <c r="H189" t="inlineStr">
        <is>
          <t>Övriga Aktiebolag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46270</v>
      </c>
      <c r="F190" t="inlineStr">
        <is>
          <t>SKÅNE LÄN</t>
        </is>
      </c>
      <c r="G190" t="inlineStr">
        <is>
          <t>KLIPPAN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46270</v>
      </c>
      <c r="F191" t="inlineStr">
        <is>
          <t>SKÅNE LÄN</t>
        </is>
      </c>
      <c r="G191" t="inlineStr">
        <is>
          <t>KLIPPAN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46270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44855</v>
      </c>
      <c r="E193" s="1" t="n">
        <v>46270</v>
      </c>
      <c r="F193" t="inlineStr">
        <is>
          <t>SKÅNE LÄN</t>
        </is>
      </c>
      <c r="G193" t="inlineStr">
        <is>
          <t>KLIPPAN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46270</v>
      </c>
      <c r="F194" t="inlineStr">
        <is>
          <t>SKÅNE LÄN</t>
        </is>
      </c>
      <c r="G194" t="inlineStr">
        <is>
          <t>KLIPPAN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46270</v>
      </c>
      <c r="F195" t="inlineStr">
        <is>
          <t>SKÅNE LÄN</t>
        </is>
      </c>
      <c r="G195" t="inlineStr">
        <is>
          <t>KLIPPAN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46270</v>
      </c>
      <c r="F196" t="inlineStr">
        <is>
          <t>SKÅNE LÄN</t>
        </is>
      </c>
      <c r="G196" t="inlineStr">
        <is>
          <t>KLIPPAN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46270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46270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46270</v>
      </c>
      <c r="F199" t="inlineStr">
        <is>
          <t>SKÅNE LÄN</t>
        </is>
      </c>
      <c r="G199" t="inlineStr">
        <is>
          <t>KLIPPAN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45161</v>
      </c>
      <c r="E200" s="1" t="n">
        <v>46270</v>
      </c>
      <c r="F200" t="inlineStr">
        <is>
          <t>SKÅNE LÄN</t>
        </is>
      </c>
      <c r="G200" t="inlineStr">
        <is>
          <t>KLIPPAN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45442</v>
      </c>
      <c r="E201" s="1" t="n">
        <v>46270</v>
      </c>
      <c r="F201" t="inlineStr">
        <is>
          <t>SKÅNE LÄN</t>
        </is>
      </c>
      <c r="G201" t="inlineStr">
        <is>
          <t>KLIPPAN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46270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46270</v>
      </c>
      <c r="F203" t="inlineStr">
        <is>
          <t>SKÅNE LÄN</t>
        </is>
      </c>
      <c r="G203" t="inlineStr">
        <is>
          <t>KLIPPAN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44875</v>
      </c>
      <c r="E204" s="1" t="n">
        <v>46270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46270</v>
      </c>
      <c r="F205" t="inlineStr">
        <is>
          <t>SKÅNE LÄN</t>
        </is>
      </c>
      <c r="G205" t="inlineStr">
        <is>
          <t>KLIPPAN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46270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46270</v>
      </c>
      <c r="F207" t="inlineStr">
        <is>
          <t>SKÅNE LÄN</t>
        </is>
      </c>
      <c r="G207" t="inlineStr">
        <is>
          <t>KLIPPAN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46270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44697</v>
      </c>
      <c r="E209" s="1" t="n">
        <v>46270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45588</v>
      </c>
      <c r="E210" s="1" t="n">
        <v>46270</v>
      </c>
      <c r="F210" t="inlineStr">
        <is>
          <t>SKÅNE LÄN</t>
        </is>
      </c>
      <c r="G210" t="inlineStr">
        <is>
          <t>KLIPPAN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46270</v>
      </c>
      <c r="F211" t="inlineStr">
        <is>
          <t>SKÅNE LÄN</t>
        </is>
      </c>
      <c r="G211" t="inlineStr">
        <is>
          <t>KLIPPAN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46270</v>
      </c>
      <c r="F212" t="inlineStr">
        <is>
          <t>SKÅNE LÄN</t>
        </is>
      </c>
      <c r="G212" t="inlineStr">
        <is>
          <t>KLIPPAN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68856-2021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46270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46270</v>
      </c>
      <c r="F214" t="inlineStr">
        <is>
          <t>SKÅNE LÄN</t>
        </is>
      </c>
      <c r="G214" t="inlineStr">
        <is>
          <t>KLIPPAN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45199</v>
      </c>
      <c r="E215" s="1" t="n">
        <v>46270</v>
      </c>
      <c r="F215" t="inlineStr">
        <is>
          <t>SKÅNE LÄN</t>
        </is>
      </c>
      <c r="G215" t="inlineStr">
        <is>
          <t>KLIPPAN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46223</v>
      </c>
      <c r="E216" s="1" t="n">
        <v>46270</v>
      </c>
      <c r="F216" t="inlineStr">
        <is>
          <t>SKÅNE LÄN</t>
        </is>
      </c>
      <c r="G216" t="inlineStr">
        <is>
          <t>KLIPPAN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46270</v>
      </c>
      <c r="F217" t="inlineStr">
        <is>
          <t>SKÅNE LÄN</t>
        </is>
      </c>
      <c r="G217" t="inlineStr">
        <is>
          <t>KLIPPAN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46270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39530-2023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46270</v>
      </c>
      <c r="F219" t="inlineStr">
        <is>
          <t>SKÅNE LÄN</t>
        </is>
      </c>
      <c r="G219" t="inlineStr">
        <is>
          <t>KLIPPAN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45072</v>
      </c>
      <c r="E220" s="1" t="n">
        <v>46270</v>
      </c>
      <c r="F220" t="inlineStr">
        <is>
          <t>SKÅNE LÄN</t>
        </is>
      </c>
      <c r="G220" t="inlineStr">
        <is>
          <t>KLIPPAN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23978-2022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46270</v>
      </c>
      <c r="F221" t="inlineStr">
        <is>
          <t>SKÅNE LÄN</t>
        </is>
      </c>
      <c r="G221" t="inlineStr">
        <is>
          <t>KLIPPAN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45404</v>
      </c>
      <c r="E222" s="1" t="n">
        <v>46270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46270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55587-2021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44475</v>
      </c>
      <c r="E224" s="1" t="n">
        <v>46270</v>
      </c>
      <c r="F224" t="inlineStr">
        <is>
          <t>SKÅNE LÄN</t>
        </is>
      </c>
      <c r="G224" t="inlineStr">
        <is>
          <t>KLIPPAN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46270</v>
      </c>
      <c r="F225" t="inlineStr">
        <is>
          <t>SKÅNE LÄN</t>
        </is>
      </c>
      <c r="G225" t="inlineStr">
        <is>
          <t>KLIPPAN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46270</v>
      </c>
      <c r="F226" t="inlineStr">
        <is>
          <t>SKÅNE LÄN</t>
        </is>
      </c>
      <c r="G226" t="inlineStr">
        <is>
          <t>KLIPPAN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46270</v>
      </c>
      <c r="F227" t="inlineStr">
        <is>
          <t>SKÅNE LÄN</t>
        </is>
      </c>
      <c r="G227" t="inlineStr">
        <is>
          <t>KLIPPAN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45238</v>
      </c>
      <c r="E228" s="1" t="n">
        <v>46270</v>
      </c>
      <c r="F228" t="inlineStr">
        <is>
          <t>SKÅNE LÄN</t>
        </is>
      </c>
      <c r="G228" t="inlineStr">
        <is>
          <t>KLIPPAN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46270</v>
      </c>
      <c r="F229" t="inlineStr">
        <is>
          <t>SKÅNE LÄN</t>
        </is>
      </c>
      <c r="G229" t="inlineStr">
        <is>
          <t>KLIPPAN</t>
        </is>
      </c>
      <c r="H229" t="inlineStr">
        <is>
          <t>Övriga Aktiebolag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45069</v>
      </c>
      <c r="E230" s="1" t="n">
        <v>46270</v>
      </c>
      <c r="F230" t="inlineStr">
        <is>
          <t>SKÅNE LÄN</t>
        </is>
      </c>
      <c r="G230" t="inlineStr">
        <is>
          <t>KLIPPAN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44697</v>
      </c>
      <c r="E231" s="1" t="n">
        <v>46270</v>
      </c>
      <c r="F231" t="inlineStr">
        <is>
          <t>SKÅNE LÄN</t>
        </is>
      </c>
      <c r="G231" t="inlineStr">
        <is>
          <t>KLIPPAN</t>
        </is>
      </c>
      <c r="I231" t="n">
        <v>17.2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46270</v>
      </c>
      <c r="F232" t="inlineStr">
        <is>
          <t>SKÅNE LÄN</t>
        </is>
      </c>
      <c r="G232" t="inlineStr">
        <is>
          <t>KLIPPAN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46270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46270</v>
      </c>
      <c r="F234" t="inlineStr">
        <is>
          <t>SKÅNE LÄN</t>
        </is>
      </c>
      <c r="G234" t="inlineStr">
        <is>
          <t>KLIPPAN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46270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46270</v>
      </c>
      <c r="F236" t="inlineStr">
        <is>
          <t>SKÅNE LÄN</t>
        </is>
      </c>
      <c r="G236" t="inlineStr">
        <is>
          <t>KLIPPAN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44855</v>
      </c>
      <c r="E237" s="1" t="n">
        <v>46270</v>
      </c>
      <c r="F237" t="inlineStr">
        <is>
          <t>SKÅNE LÄN</t>
        </is>
      </c>
      <c r="G237" t="inlineStr">
        <is>
          <t>KLIPPAN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45341</v>
      </c>
      <c r="E238" s="1" t="n">
        <v>46270</v>
      </c>
      <c r="F238" t="inlineStr">
        <is>
          <t>SKÅNE LÄN</t>
        </is>
      </c>
      <c r="G238" t="inlineStr">
        <is>
          <t>KLIPPAN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45084</v>
      </c>
      <c r="E239" s="1" t="n">
        <v>46270</v>
      </c>
      <c r="F239" t="inlineStr">
        <is>
          <t>SKÅNE LÄN</t>
        </is>
      </c>
      <c r="G239" t="inlineStr">
        <is>
          <t>KLIPPAN</t>
        </is>
      </c>
      <c r="H239" t="inlineStr">
        <is>
          <t>Övriga Aktiebolag</t>
        </is>
      </c>
      <c r="I239" t="n">
        <v>11.6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46270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10.9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45005</v>
      </c>
      <c r="E241" s="1" t="n">
        <v>46270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46251</v>
      </c>
      <c r="E242" s="1" t="n">
        <v>46270</v>
      </c>
      <c r="F242" t="inlineStr">
        <is>
          <t>SKÅNE LÄN</t>
        </is>
      </c>
      <c r="G242" t="inlineStr">
        <is>
          <t>KLIPPAN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46270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46270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46270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42284-2024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45562</v>
      </c>
      <c r="E246" s="1" t="n">
        <v>46270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45320</v>
      </c>
      <c r="E247" s="1" t="n">
        <v>46270</v>
      </c>
      <c r="F247" t="inlineStr">
        <is>
          <t>SKÅNE LÄN</t>
        </is>
      </c>
      <c r="G247" t="inlineStr">
        <is>
          <t>KLIPPAN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46253</v>
      </c>
      <c r="E248" s="1" t="n">
        <v>46270</v>
      </c>
      <c r="F248" t="inlineStr">
        <is>
          <t>SKÅNE LÄN</t>
        </is>
      </c>
      <c r="G248" t="inlineStr">
        <is>
          <t>KLIPPAN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46270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46270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46270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46216</v>
      </c>
      <c r="E252" s="1" t="n">
        <v>46270</v>
      </c>
      <c r="F252" t="inlineStr">
        <is>
          <t>SKÅNE LÄN</t>
        </is>
      </c>
      <c r="G252" t="inlineStr">
        <is>
          <t>KLIPPAN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46270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46270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46270</v>
      </c>
      <c r="F255" t="inlineStr">
        <is>
          <t>SKÅNE LÄN</t>
        </is>
      </c>
      <c r="G255" t="inlineStr">
        <is>
          <t>KLIPPAN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46270</v>
      </c>
      <c r="F256" t="inlineStr">
        <is>
          <t>SKÅNE LÄN</t>
        </is>
      </c>
      <c r="G256" t="inlineStr">
        <is>
          <t>KLIPPAN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46216</v>
      </c>
      <c r="E257" s="1" t="n">
        <v>46270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46270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46270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46270</v>
      </c>
      <c r="F260" t="inlineStr">
        <is>
          <t>SKÅNE LÄN</t>
        </is>
      </c>
      <c r="G260" t="inlineStr">
        <is>
          <t>KLIPPAN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46270</v>
      </c>
      <c r="F261" t="inlineStr">
        <is>
          <t>SKÅNE LÄN</t>
        </is>
      </c>
      <c r="G261" t="inlineStr">
        <is>
          <t>KLIPPAN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46270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46270</v>
      </c>
      <c r="F263" t="inlineStr">
        <is>
          <t>SKÅNE LÄN</t>
        </is>
      </c>
      <c r="G263" t="inlineStr">
        <is>
          <t>KLIPPAN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46270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36480-2026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46269</v>
      </c>
      <c r="E265" s="1" t="n">
        <v>46270</v>
      </c>
      <c r="F265" t="inlineStr">
        <is>
          <t>SKÅNE LÄN</t>
        </is>
      </c>
      <c r="G265" t="inlineStr">
        <is>
          <t>KLIPPAN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46269</v>
      </c>
      <c r="E266" s="1" t="n">
        <v>46270</v>
      </c>
      <c r="F266" t="inlineStr">
        <is>
          <t>SKÅNE LÄN</t>
        </is>
      </c>
      <c r="G266" t="inlineStr">
        <is>
          <t>KLIPPAN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46270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46270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46270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46270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46270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46270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46270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46270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46270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46270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46270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46270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4865-2022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44805</v>
      </c>
      <c r="E279" s="1" t="n">
        <v>46270</v>
      </c>
      <c r="F279" t="inlineStr">
        <is>
          <t>SKÅNE LÄN</t>
        </is>
      </c>
      <c r="G279" t="inlineStr">
        <is>
          <t>KLIPPAN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46270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46270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46270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46270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46270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46270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46270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46270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46270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46270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46270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46270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46270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46270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2026-09-05T02:06:23Z</dcterms:created>
  <dcterms:modified xmlns:dcterms="http://purl.org/dc/terms/" xmlns:xsi="http://www.w3.org/2001/XMLSchema-instance" xsi:type="dcterms:W3CDTF">2026-09-05T02:06:23Z</dcterms:modified>
</cp:coreProperties>
</file>