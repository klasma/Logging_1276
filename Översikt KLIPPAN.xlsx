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8641-2025</t>
        </is>
      </c>
      <c r="B2" s="1" t="n">
        <v>45711</v>
      </c>
      <c r="C2" s="1" t="n">
        <v>45728</v>
      </c>
      <c r="D2" t="inlineStr">
        <is>
          <t>SKÅNE LÄN</t>
        </is>
      </c>
      <c r="E2" t="inlineStr">
        <is>
          <t>KLIPPAN</t>
        </is>
      </c>
      <c r="G2" t="n">
        <v>3</v>
      </c>
      <c r="H2" t="n">
        <v>7</v>
      </c>
      <c r="I2" t="n">
        <v>1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Grönfink
Entita
Mindre hackspett
Rödvingetrast
Spillkråka
Blåmossa
Kungsfågel
Revlummer</t>
        </is>
      </c>
      <c r="S2">
        <f>HYPERLINK("https://klasma.github.io/Logging_1276/artfynd/A 8641-2025 artfynd.xlsx", "A 8641-2025")</f>
        <v/>
      </c>
      <c r="T2">
        <f>HYPERLINK("https://klasma.github.io/Logging_1276/kartor/A 8641-2025 karta.png", "A 8641-2025")</f>
        <v/>
      </c>
      <c r="V2">
        <f>HYPERLINK("https://klasma.github.io/Logging_1276/klagomål/A 8641-2025 FSC-klagomål.docx", "A 8641-2025")</f>
        <v/>
      </c>
      <c r="W2">
        <f>HYPERLINK("https://klasma.github.io/Logging_1276/klagomålsmail/A 8641-2025 FSC-klagomål mail.docx", "A 8641-2025")</f>
        <v/>
      </c>
      <c r="X2">
        <f>HYPERLINK("https://klasma.github.io/Logging_1276/tillsyn/A 8641-2025 tillsynsbegäran.docx", "A 8641-2025")</f>
        <v/>
      </c>
      <c r="Y2">
        <f>HYPERLINK("https://klasma.github.io/Logging_1276/tillsynsmail/A 8641-2025 tillsynsbegäran mail.docx", "A 8641-2025")</f>
        <v/>
      </c>
      <c r="Z2">
        <f>HYPERLINK("https://klasma.github.io/Logging_1276/fåglar/A 8641-2025 prioriterade fågelarter.docx", "A 8641-2025")</f>
        <v/>
      </c>
    </row>
    <row r="3" ht="15" customHeight="1">
      <c r="A3" t="inlineStr">
        <is>
          <t>A 28703-2023</t>
        </is>
      </c>
      <c r="B3" s="1" t="n">
        <v>45103</v>
      </c>
      <c r="C3" s="1" t="n">
        <v>45728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Spillkråka
Blomkålssvamp
Sotriska</t>
        </is>
      </c>
      <c r="S3">
        <f>HYPERLINK("https://klasma.github.io/Logging_1276/artfynd/A 28703-2023 artfynd.xlsx", "A 28703-2023")</f>
        <v/>
      </c>
      <c r="T3">
        <f>HYPERLINK("https://klasma.github.io/Logging_1276/kartor/A 28703-2023 karta.png", "A 28703-2023")</f>
        <v/>
      </c>
      <c r="V3">
        <f>HYPERLINK("https://klasma.github.io/Logging_1276/klagomål/A 28703-2023 FSC-klagomål.docx", "A 28703-2023")</f>
        <v/>
      </c>
      <c r="W3">
        <f>HYPERLINK("https://klasma.github.io/Logging_1276/klagomålsmail/A 28703-2023 FSC-klagomål mail.docx", "A 28703-2023")</f>
        <v/>
      </c>
      <c r="X3">
        <f>HYPERLINK("https://klasma.github.io/Logging_1276/tillsyn/A 28703-2023 tillsynsbegäran.docx", "A 28703-2023")</f>
        <v/>
      </c>
      <c r="Y3">
        <f>HYPERLINK("https://klasma.github.io/Logging_1276/tillsynsmail/A 28703-2023 tillsynsbegäran mail.docx", "A 28703-2023")</f>
        <v/>
      </c>
      <c r="Z3">
        <f>HYPERLINK("https://klasma.github.io/Logging_1276/fåglar/A 28703-2023 prioriterade fågelarter.docx", "A 28703-2023")</f>
        <v/>
      </c>
    </row>
    <row r="4" ht="15" customHeight="1">
      <c r="A4" t="inlineStr">
        <is>
          <t>A 61690-2023</t>
        </is>
      </c>
      <c r="B4" s="1" t="n">
        <v>45264</v>
      </c>
      <c r="C4" s="1" t="n">
        <v>45728</v>
      </c>
      <c r="D4" t="inlineStr">
        <is>
          <t>SKÅNE LÄN</t>
        </is>
      </c>
      <c r="E4" t="inlineStr">
        <is>
          <t>KLIPPAN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Gulsparv
Enkelbeckasin
Gröngöling</t>
        </is>
      </c>
      <c r="S4">
        <f>HYPERLINK("https://klasma.github.io/Logging_1276/artfynd/A 61690-2023 artfynd.xlsx", "A 61690-2023")</f>
        <v/>
      </c>
      <c r="T4">
        <f>HYPERLINK("https://klasma.github.io/Logging_1276/kartor/A 61690-2023 karta.png", "A 61690-2023")</f>
        <v/>
      </c>
      <c r="V4">
        <f>HYPERLINK("https://klasma.github.io/Logging_1276/klagomål/A 61690-2023 FSC-klagomål.docx", "A 61690-2023")</f>
        <v/>
      </c>
      <c r="W4">
        <f>HYPERLINK("https://klasma.github.io/Logging_1276/klagomålsmail/A 61690-2023 FSC-klagomål mail.docx", "A 61690-2023")</f>
        <v/>
      </c>
      <c r="X4">
        <f>HYPERLINK("https://klasma.github.io/Logging_1276/tillsyn/A 61690-2023 tillsynsbegäran.docx", "A 61690-2023")</f>
        <v/>
      </c>
      <c r="Y4">
        <f>HYPERLINK("https://klasma.github.io/Logging_1276/tillsynsmail/A 61690-2023 tillsynsbegäran mail.docx", "A 61690-2023")</f>
        <v/>
      </c>
      <c r="Z4">
        <f>HYPERLINK("https://klasma.github.io/Logging_1276/fåglar/A 61690-2023 prioriterade fågelarter.docx", "A 61690-2023")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45728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45728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45728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45728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45728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45728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45728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45728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45728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45728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2762-2024</t>
        </is>
      </c>
      <c r="B15" s="1" t="n">
        <v>45314</v>
      </c>
      <c r="C15" s="1" t="n">
        <v>45728</v>
      </c>
      <c r="D15" t="inlineStr">
        <is>
          <t>SKÅNE LÄN</t>
        </is>
      </c>
      <c r="E15" t="inlineStr">
        <is>
          <t>KLIPPAN</t>
        </is>
      </c>
      <c r="G15" t="n">
        <v>19.6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Entita
Spillkråka</t>
        </is>
      </c>
      <c r="S15">
        <f>HYPERLINK("https://klasma.github.io/Logging_1276/artfynd/A 2762-2024 artfynd.xlsx", "A 2762-2024")</f>
        <v/>
      </c>
      <c r="T15">
        <f>HYPERLINK("https://klasma.github.io/Logging_1276/kartor/A 2762-2024 karta.png", "A 2762-2024")</f>
        <v/>
      </c>
      <c r="V15">
        <f>HYPERLINK("https://klasma.github.io/Logging_1276/klagomål/A 2762-2024 FSC-klagomål.docx", "A 2762-2024")</f>
        <v/>
      </c>
      <c r="W15">
        <f>HYPERLINK("https://klasma.github.io/Logging_1276/klagomålsmail/A 2762-2024 FSC-klagomål mail.docx", "A 2762-2024")</f>
        <v/>
      </c>
      <c r="X15">
        <f>HYPERLINK("https://klasma.github.io/Logging_1276/tillsyn/A 2762-2024 tillsynsbegäran.docx", "A 2762-2024")</f>
        <v/>
      </c>
      <c r="Y15">
        <f>HYPERLINK("https://klasma.github.io/Logging_1276/tillsynsmail/A 2762-2024 tillsynsbegäran mail.docx", "A 2762-2024")</f>
        <v/>
      </c>
      <c r="Z15">
        <f>HYPERLINK("https://klasma.github.io/Logging_1276/fåglar/A 2762-2024 prioriterade fågelarter.docx", "A 2762-2024")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45728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45728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45728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45728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45728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45728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45728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45728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45728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5797-2024</t>
        </is>
      </c>
      <c r="B25" s="1" t="n">
        <v>45335</v>
      </c>
      <c r="C25" s="1" t="n">
        <v>45728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5797-2024 artfynd.xlsx", "A 5797-2024")</f>
        <v/>
      </c>
      <c r="T25">
        <f>HYPERLINK("https://klasma.github.io/Logging_1276/kartor/A 5797-2024 karta.png", "A 5797-2024")</f>
        <v/>
      </c>
      <c r="V25">
        <f>HYPERLINK("https://klasma.github.io/Logging_1276/klagomål/A 5797-2024 FSC-klagomål.docx", "A 5797-2024")</f>
        <v/>
      </c>
      <c r="W25">
        <f>HYPERLINK("https://klasma.github.io/Logging_1276/klagomålsmail/A 5797-2024 FSC-klagomål mail.docx", "A 5797-2024")</f>
        <v/>
      </c>
      <c r="X25">
        <f>HYPERLINK("https://klasma.github.io/Logging_1276/tillsyn/A 5797-2024 tillsynsbegäran.docx", "A 5797-2024")</f>
        <v/>
      </c>
      <c r="Y25">
        <f>HYPERLINK("https://klasma.github.io/Logging_1276/tillsynsmail/A 5797-2024 tillsynsbegäran mail.docx", "A 5797-2024")</f>
        <v/>
      </c>
      <c r="Z25">
        <f>HYPERLINK("https://klasma.github.io/Logging_1276/fåglar/A 5797-2024 prioriterade fågelarter.docx", "A 5797-2024")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45728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45728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45728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45728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45728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45728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45728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45728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45728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45728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45728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45728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45728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45728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45728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45728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45728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45728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45728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45728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45728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45728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45728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45728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45728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45728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45728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45728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45728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45728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45728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45728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45728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45728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45728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45728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45728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45728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45728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45728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45728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45728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45728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45728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45728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45728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45728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45728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45728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45728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45728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45728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45728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45728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45728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45728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45728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45728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45728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45728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45728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45728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45728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45728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45728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45728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45728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45728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45728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45728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45728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45728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45728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45728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45728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45728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45728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45728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45728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45728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45728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45728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45728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45728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45728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45728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45728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45728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45728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45728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45728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45728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45728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45728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45728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45728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45728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45728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45728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45728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45728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45728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45728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45728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45728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45728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45728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45728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45728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45728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45728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45728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45728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45728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45728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45728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45728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45728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45728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45728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45728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45728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45728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45728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45728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45728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45728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45728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45728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45728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45728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45728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45728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45728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45728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45728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45728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45728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45728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45728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45728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45728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45728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45728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45728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45728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45728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45728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45728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45728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45728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45728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45728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45728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45728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45728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45728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45728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45728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45728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45728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45728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45728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45728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45728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45728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45728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45728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45728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45728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45728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45728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45728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45728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45728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45728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45728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45728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45728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45728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45728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45728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45728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45728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45728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45728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45728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45728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45728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45728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45728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45728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45728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45728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45728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45728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45728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45728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45728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45728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45728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45728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45728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45728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45728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45728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45728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45728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45728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45728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45728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45728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45728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45728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45728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45728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45728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45728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45728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45728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45728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45728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45728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45728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45728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45728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45728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45728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45728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45728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45728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45728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45728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45728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45728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45728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45728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45728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45728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45728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45728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45728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45728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45728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45728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45728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45728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45728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45728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45728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45728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45728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45728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45728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45728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45728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45728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45728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45728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45728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45728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45728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45728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45728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45728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45728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45728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45728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45728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45728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45728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45728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45728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45728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45728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45728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45728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45728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45728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45728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45728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45728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45728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45728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45728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45728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45728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45728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45728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45728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45728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45728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45728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45728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45728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45728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45728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45728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45728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45728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45728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45728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45728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45728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45728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45728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45728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45728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45728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45728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45728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45728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45728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45728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45728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45728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45728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45728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45728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45728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45728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45728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45728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45728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45728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45728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45728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45728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45728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45728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45728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45728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45728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45728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45728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45728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45728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45728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45728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45728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45728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45728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45728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45728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45728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45728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45728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45728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45728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45728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45728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45728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45728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45728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45728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45728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45728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45728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45728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45728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45728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45728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45728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45728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45728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45728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45728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45728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45728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45728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45728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45728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45728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45728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45728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45728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45728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45728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45728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45728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45728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45728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45728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45728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45728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45728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45728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45728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45728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45728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45728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45728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45728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45728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45728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45728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45728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45728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45728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45728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45728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45728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45728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45728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45728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45728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45728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45728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7661-2025</t>
        </is>
      </c>
      <c r="B434" s="1" t="n">
        <v>45706</v>
      </c>
      <c r="C434" s="1" t="n">
        <v>45728</v>
      </c>
      <c r="D434" t="inlineStr">
        <is>
          <t>SKÅNE LÄN</t>
        </is>
      </c>
      <c r="E434" t="inlineStr">
        <is>
          <t>KLIPPAN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7659-2025</t>
        </is>
      </c>
      <c r="B435" s="1" t="n">
        <v>45706</v>
      </c>
      <c r="C435" s="1" t="n">
        <v>45728</v>
      </c>
      <c r="D435" t="inlineStr">
        <is>
          <t>SKÅNE LÄN</t>
        </is>
      </c>
      <c r="E435" t="inlineStr">
        <is>
          <t>KLIPPAN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45728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45728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45728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45728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45728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11559-2025</t>
        </is>
      </c>
      <c r="B441" s="1" t="n">
        <v>45727</v>
      </c>
      <c r="C441" s="1" t="n">
        <v>45728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2025-03-12T16:45:35Z</dcterms:created>
  <dcterms:modified xmlns:dcterms="http://purl.org/dc/terms/" xmlns:xsi="http://www.w3.org/2001/XMLSchema-instance" xsi:type="dcterms:W3CDTF">2025-03-12T16:45:35Z</dcterms:modified>
</cp:coreProperties>
</file>