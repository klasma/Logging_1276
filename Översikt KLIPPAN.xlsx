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46301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46301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46301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46301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46301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46301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46301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46301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46301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46301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46301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46301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46301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46301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46301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46301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46301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46301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46301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46301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46301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46301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46301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46301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39440-2026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46288</v>
      </c>
      <c r="E28" s="1" t="n">
        <v>46301</v>
      </c>
      <c r="F28" t="inlineStr">
        <is>
          <t>SKÅNE LÄN</t>
        </is>
      </c>
      <c r="G28" t="inlineStr">
        <is>
          <t>KLIPPAN</t>
        </is>
      </c>
      <c r="I28" t="n">
        <v>0.7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Vanlig groda</t>
        </is>
      </c>
      <c r="W28">
        <f>HYPERLINK("https://klasma.github.io/Logging_1276/artfynd/A 39440-2026 artfynd.xlsx", "A 39440-2026")</f>
        <v/>
      </c>
      <c r="X28">
        <f>HYPERLINK("https://klasma.github.io/Logging_1276/kartor/A 39440-2026 karta.png", "A 39440-2026")</f>
        <v/>
      </c>
      <c r="Y28">
        <f>HYPERLINK("https://klasma.github.io/Logging_1276/kartor_geotiff/A 39440-2026 georefererad karta.tif", "A 39440-2026")</f>
        <v/>
      </c>
      <c r="AA28">
        <f>HYPERLINK("https://klasma.github.io/Logging_1276/klagomål/A 39440-2026 FSC-klagomål.docx", "A 39440-2026")</f>
        <v/>
      </c>
      <c r="AB28">
        <f>HYPERLINK("https://klasma.github.io/Logging_1276/klagomålsmail/A 39440-2026 FSC-klagomål mail.docx", "A 39440-2026")</f>
        <v/>
      </c>
      <c r="AC28">
        <f>HYPERLINK("https://klasma.github.io/Logging_1276/tillsyn/A 39440-2026 tillsynsbegäran.docx", "A 39440-2026")</f>
        <v/>
      </c>
      <c r="AD28">
        <f>HYPERLINK("https://klasma.github.io/Logging_1276/tillsynsmail/A 39440-2026 tillsynsbegäran mail.docx", "A 39440-2026")</f>
        <v/>
      </c>
      <c r="AE28">
        <f>HYPERLINK("https://klasma.github.io/Logging_1276/fåglar/A 39440-2026 prioriterade fågelarter.docx", "A 39440-2026")</f>
        <v/>
      </c>
    </row>
    <row r="29" ht="15" customHeight="1">
      <c r="A29" t="inlineStr">
        <is>
          <t>A 5797-2024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45335</v>
      </c>
      <c r="E29" s="1" t="n">
        <v>46301</v>
      </c>
      <c r="F29" t="inlineStr">
        <is>
          <t>SKÅNE LÄN</t>
        </is>
      </c>
      <c r="G29" t="inlineStr">
        <is>
          <t>KLIPPAN</t>
        </is>
      </c>
      <c r="I29" t="n">
        <v>1.8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Gröngöling</t>
        </is>
      </c>
      <c r="W29">
        <f>HYPERLINK("https://klasma.github.io/Logging_1276/artfynd/A 5797-2024 artfynd.xlsx", "A 5797-2024")</f>
        <v/>
      </c>
      <c r="X29">
        <f>HYPERLINK("https://klasma.github.io/Logging_1276/kartor/A 5797-2024 karta.png", "A 5797-2024")</f>
        <v/>
      </c>
      <c r="Y29">
        <f>HYPERLINK("https://klasma.github.io/Logging_1276/kartor_geotiff/A 5797-2024 georefererad karta.tif", "A 5797-2024")</f>
        <v/>
      </c>
      <c r="AA29">
        <f>HYPERLINK("https://klasma.github.io/Logging_1276/klagomål/A 5797-2024 FSC-klagomål.docx", "A 5797-2024")</f>
        <v/>
      </c>
      <c r="AB29">
        <f>HYPERLINK("https://klasma.github.io/Logging_1276/klagomålsmail/A 5797-2024 FSC-klagomål mail.docx", "A 5797-2024")</f>
        <v/>
      </c>
      <c r="AC29">
        <f>HYPERLINK("https://klasma.github.io/Logging_1276/tillsyn/A 5797-2024 tillsynsbegäran.docx", "A 5797-2024")</f>
        <v/>
      </c>
      <c r="AD29">
        <f>HYPERLINK("https://klasma.github.io/Logging_1276/tillsynsmail/A 5797-2024 tillsynsbegäran mail.docx", "A 5797-2024")</f>
        <v/>
      </c>
      <c r="AE29">
        <f>HYPERLINK("https://klasma.github.io/Logging_1276/fåglar/A 5797-2024 prioriterade fågelarter.docx", "A 5797-2024")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46301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46301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46301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46301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46301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46301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46301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15810-2024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45404</v>
      </c>
      <c r="E37" s="1" t="n">
        <v>46301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Småvänderot</t>
        </is>
      </c>
      <c r="W37">
        <f>HYPERLINK("https://klasma.github.io/Logging_1276/artfynd/A 15810-2024 artfynd.xlsx", "A 15810-2024")</f>
        <v/>
      </c>
      <c r="X37">
        <f>HYPERLINK("https://klasma.github.io/Logging_1276/kartor/A 15810-2024 karta.png", "A 15810-2024")</f>
        <v/>
      </c>
      <c r="Y37">
        <f>HYPERLINK("https://klasma.github.io/Logging_1276/kartor_geotiff/A 15810-2024 georefererad karta.tif", "A 15810-2024")</f>
        <v/>
      </c>
      <c r="AA37">
        <f>HYPERLINK("https://klasma.github.io/Logging_1276/klagomål/A 15810-2024 FSC-klagomål.docx", "A 15810-2024")</f>
        <v/>
      </c>
      <c r="AB37">
        <f>HYPERLINK("https://klasma.github.io/Logging_1276/klagomålsmail/A 15810-2024 FSC-klagomål mail.docx", "A 15810-2024")</f>
        <v/>
      </c>
      <c r="AC37">
        <f>HYPERLINK("https://klasma.github.io/Logging_1276/tillsyn/A 15810-2024 tillsynsbegäran.docx", "A 15810-2024")</f>
        <v/>
      </c>
      <c r="AD37">
        <f>HYPERLINK("https://klasma.github.io/Logging_1276/tillsynsmail/A 15810-2024 tillsynsbegäran mail.docx", "A 15810-2024")</f>
        <v/>
      </c>
    </row>
    <row r="38" ht="15" customHeight="1">
      <c r="A38" t="inlineStr">
        <is>
          <t>A 14892-2023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45015</v>
      </c>
      <c r="E38" s="1" t="n">
        <v>46301</v>
      </c>
      <c r="F38" t="inlineStr">
        <is>
          <t>SKÅNE LÄN</t>
        </is>
      </c>
      <c r="G38" t="inlineStr">
        <is>
          <t>KLIPPAN</t>
        </is>
      </c>
      <c r="I38" t="n">
        <v>2.7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14892-2023 artfynd.xlsx", "A 14892-2023")</f>
        <v/>
      </c>
      <c r="X38">
        <f>HYPERLINK("https://klasma.github.io/Logging_1276/kartor/A 14892-2023 karta.png", "A 14892-2023")</f>
        <v/>
      </c>
      <c r="Y38">
        <f>HYPERLINK("https://klasma.github.io/Logging_1276/kartor_geotiff/A 14892-2023 georefererad karta.tif", "A 14892-2023")</f>
        <v/>
      </c>
      <c r="AA38">
        <f>HYPERLINK("https://klasma.github.io/Logging_1276/klagomål/A 14892-2023 FSC-klagomål.docx", "A 14892-2023")</f>
        <v/>
      </c>
      <c r="AB38">
        <f>HYPERLINK("https://klasma.github.io/Logging_1276/klagomålsmail/A 14892-2023 FSC-klagomål mail.docx", "A 14892-2023")</f>
        <v/>
      </c>
      <c r="AC38">
        <f>HYPERLINK("https://klasma.github.io/Logging_1276/tillsyn/A 14892-2023 tillsynsbegäran.docx", "A 14892-2023")</f>
        <v/>
      </c>
      <c r="AD38">
        <f>HYPERLINK("https://klasma.github.io/Logging_1276/tillsynsmail/A 14892-2023 tillsynsbegäran mail.docx", "A 14892-2023")</f>
        <v/>
      </c>
      <c r="AE38">
        <f>HYPERLINK("https://klasma.github.io/Logging_1276/fåglar/A 14892-2023 prioriterade fågelarter.docx", "A 14892-2023")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46301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61049-2025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46301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61049-2025 artfynd.xlsx", "A 61049-2025")</f>
        <v/>
      </c>
      <c r="X40">
        <f>HYPERLINK("https://klasma.github.io/Logging_1276/kartor/A 61049-2025 karta.png", "A 61049-2025")</f>
        <v/>
      </c>
      <c r="Y40">
        <f>HYPERLINK("https://klasma.github.io/Logging_1276/kartor_geotiff/A 61049-2025 georefererad karta.tif", "A 61049-2025")</f>
        <v/>
      </c>
      <c r="AA40">
        <f>HYPERLINK("https://klasma.github.io/Logging_1276/klagomål/A 61049-2025 FSC-klagomål.docx", "A 61049-2025")</f>
        <v/>
      </c>
      <c r="AB40">
        <f>HYPERLINK("https://klasma.github.io/Logging_1276/klagomålsmail/A 61049-2025 FSC-klagomål mail.docx", "A 61049-2025")</f>
        <v/>
      </c>
      <c r="AC40">
        <f>HYPERLINK("https://klasma.github.io/Logging_1276/tillsyn/A 61049-2025 tillsynsbegäran.docx", "A 61049-2025")</f>
        <v/>
      </c>
      <c r="AD40">
        <f>HYPERLINK("https://klasma.github.io/Logging_1276/tillsynsmail/A 61049-2025 tillsynsbegäran mail.docx", "A 61049-2025")</f>
        <v/>
      </c>
      <c r="AE40">
        <f>HYPERLINK("https://klasma.github.io/Logging_1276/fåglar/A 61049-2025 prioriterade fågelarter.docx", "A 61049-2025")</f>
        <v/>
      </c>
    </row>
    <row r="41" ht="15" customHeight="1">
      <c r="A41" t="inlineStr">
        <is>
          <t>A 61058-2025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46301</v>
      </c>
      <c r="F41" t="inlineStr">
        <is>
          <t>SKÅNE LÄN</t>
        </is>
      </c>
      <c r="G41" t="inlineStr">
        <is>
          <t>KLIPPAN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HYPERLINK("https://klasma.github.io/Logging_1276/artfynd/A 61058-2025 artfynd.xlsx", "A 61058-2025")</f>
        <v/>
      </c>
      <c r="X41">
        <f>HYPERLINK("https://klasma.github.io/Logging_1276/kartor/A 61058-2025 karta.png", "A 61058-2025")</f>
        <v/>
      </c>
      <c r="Y41">
        <f>HYPERLINK("https://klasma.github.io/Logging_1276/kartor_geotiff/A 61058-2025 georefererad karta.tif", "A 61058-2025")</f>
        <v/>
      </c>
      <c r="AA41">
        <f>HYPERLINK("https://klasma.github.io/Logging_1276/klagomål/A 61058-2025 FSC-klagomål.docx", "A 61058-2025")</f>
        <v/>
      </c>
      <c r="AB41">
        <f>HYPERLINK("https://klasma.github.io/Logging_1276/klagomålsmail/A 61058-2025 FSC-klagomål mail.docx", "A 61058-2025")</f>
        <v/>
      </c>
      <c r="AC41">
        <f>HYPERLINK("https://klasma.github.io/Logging_1276/tillsyn/A 61058-2025 tillsynsbegäran.docx", "A 61058-2025")</f>
        <v/>
      </c>
      <c r="AD41">
        <f>HYPERLINK("https://klasma.github.io/Logging_1276/tillsynsmail/A 61058-2025 tillsynsbegäran mail.docx", "A 61058-2025")</f>
        <v/>
      </c>
    </row>
    <row r="42" ht="15" customHeight="1">
      <c r="A42" t="inlineStr">
        <is>
          <t>A 21788-2026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46301</v>
      </c>
      <c r="F42" t="inlineStr">
        <is>
          <t>SKÅNE LÄN</t>
        </is>
      </c>
      <c r="G42" t="inlineStr">
        <is>
          <t>KLIPPAN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Bäckbräsma</t>
        </is>
      </c>
      <c r="W42">
        <f>HYPERLINK("https://klasma.github.io/Logging_1276/artfynd/A 21788-2026 artfynd.xlsx", "A 21788-2026")</f>
        <v/>
      </c>
      <c r="X42">
        <f>HYPERLINK("https://klasma.github.io/Logging_1276/kartor/A 21788-2026 karta.png", "A 21788-2026")</f>
        <v/>
      </c>
      <c r="Y42">
        <f>HYPERLINK("https://klasma.github.io/Logging_1276/kartor_geotiff/A 21788-2026 georefererad karta.tif", "A 21788-2026")</f>
        <v/>
      </c>
      <c r="AA42">
        <f>HYPERLINK("https://klasma.github.io/Logging_1276/klagomål/A 21788-2026 FSC-klagomål.docx", "A 21788-2026")</f>
        <v/>
      </c>
      <c r="AB42">
        <f>HYPERLINK("https://klasma.github.io/Logging_1276/klagomålsmail/A 21788-2026 FSC-klagomål mail.docx", "A 21788-2026")</f>
        <v/>
      </c>
      <c r="AC42">
        <f>HYPERLINK("https://klasma.github.io/Logging_1276/tillsyn/A 21788-2026 tillsynsbegäran.docx", "A 21788-2026")</f>
        <v/>
      </c>
      <c r="AD42">
        <f>HYPERLINK("https://klasma.github.io/Logging_1276/tillsynsmail/A 21788-2026 tillsynsbegäran mail.docx", "A 21788-2026")</f>
        <v/>
      </c>
    </row>
    <row r="43" ht="15" customHeight="1">
      <c r="A43" t="inlineStr">
        <is>
          <t>A 10000-2025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46301</v>
      </c>
      <c r="F43" t="inlineStr">
        <is>
          <t>SKÅNE LÄN</t>
        </is>
      </c>
      <c r="G43" t="inlineStr">
        <is>
          <t>KLIPPAN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10000-2025 artfynd.xlsx", "A 10000-2025")</f>
        <v/>
      </c>
      <c r="X43">
        <f>HYPERLINK("https://klasma.github.io/Logging_1276/kartor/A 10000-2025 karta.png", "A 10000-2025")</f>
        <v/>
      </c>
      <c r="Y43">
        <f>HYPERLINK("https://klasma.github.io/Logging_1276/kartor_geotiff/A 10000-2025 georefererad karta.tif", "A 10000-2025")</f>
        <v/>
      </c>
      <c r="AA43">
        <f>HYPERLINK("https://klasma.github.io/Logging_1276/klagomål/A 10000-2025 FSC-klagomål.docx", "A 10000-2025")</f>
        <v/>
      </c>
      <c r="AB43">
        <f>HYPERLINK("https://klasma.github.io/Logging_1276/klagomålsmail/A 10000-2025 FSC-klagomål mail.docx", "A 10000-2025")</f>
        <v/>
      </c>
      <c r="AC43">
        <f>HYPERLINK("https://klasma.github.io/Logging_1276/tillsyn/A 10000-2025 tillsynsbegäran.docx", "A 10000-2025")</f>
        <v/>
      </c>
      <c r="AD43">
        <f>HYPERLINK("https://klasma.github.io/Logging_1276/tillsynsmail/A 10000-2025 tillsynsbegäran mail.docx", "A 10000-2025")</f>
        <v/>
      </c>
    </row>
    <row r="44" ht="15" customHeight="1">
      <c r="A44" t="inlineStr">
        <is>
          <t>A 31279-2026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46301</v>
      </c>
      <c r="F44" t="inlineStr">
        <is>
          <t>SKÅNE LÄN</t>
        </is>
      </c>
      <c r="G44" t="inlineStr">
        <is>
          <t>KLIPPAN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31279-2026 artfynd.xlsx", "A 31279-2026")</f>
        <v/>
      </c>
      <c r="X44">
        <f>HYPERLINK("https://klasma.github.io/Logging_1276/kartor/A 31279-2026 karta.png", "A 31279-2026")</f>
        <v/>
      </c>
      <c r="Y44">
        <f>HYPERLINK("https://klasma.github.io/Logging_1276/kartor_geotiff/A 31279-2026 georefererad karta.tif", "A 31279-2026")</f>
        <v/>
      </c>
      <c r="AA44">
        <f>HYPERLINK("https://klasma.github.io/Logging_1276/klagomål/A 31279-2026 FSC-klagomål.docx", "A 31279-2026")</f>
        <v/>
      </c>
      <c r="AB44">
        <f>HYPERLINK("https://klasma.github.io/Logging_1276/klagomålsmail/A 31279-2026 FSC-klagomål mail.docx", "A 31279-2026")</f>
        <v/>
      </c>
      <c r="AC44">
        <f>HYPERLINK("https://klasma.github.io/Logging_1276/tillsyn/A 31279-2026 tillsynsbegäran.docx", "A 31279-2026")</f>
        <v/>
      </c>
      <c r="AD44">
        <f>HYPERLINK("https://klasma.github.io/Logging_1276/tillsynsmail/A 31279-2026 tillsynsbegäran mail.docx", "A 31279-2026")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46301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46301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46301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S 841-2023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44992</v>
      </c>
      <c r="E48" s="1" t="n">
        <v>46301</v>
      </c>
      <c r="F48" t="inlineStr">
        <is>
          <t>SKÅNE LÄN</t>
        </is>
      </c>
      <c r="G48" t="inlineStr">
        <is>
          <t>KLIPPAN</t>
        </is>
      </c>
      <c r="I48" t="n">
        <v>23.9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HYPERLINK("https://klasma.github.io/Logging_1276/artfynd/S 841-2023 artfynd.xlsx", "S 841-2023")</f>
        <v/>
      </c>
      <c r="X48">
        <f>HYPERLINK("https://klasma.github.io/Logging_1276/kartor/S 841-2023 karta.png", "S 841-2023")</f>
        <v/>
      </c>
      <c r="Y48">
        <f>HYPERLINK("https://klasma.github.io/Logging_1276/kartor_geotiff/S 841-2023 georefererad karta.tif", "S 841-2023")</f>
        <v/>
      </c>
      <c r="AA48">
        <f>HYPERLINK("https://klasma.github.io/Logging_1276/klagomål/S 841-2023 FSC-klagomål.docx", "S 841-2023")</f>
        <v/>
      </c>
      <c r="AB48">
        <f>HYPERLINK("https://klasma.github.io/Logging_1276/klagomålsmail/S 841-2023 FSC-klagomål mail.docx", "S 841-2023")</f>
        <v/>
      </c>
      <c r="AC48">
        <f>HYPERLINK("https://klasma.github.io/Logging_1276/tillsyn/S 841-2023 tillsynsbegäran.docx", "S 841-2023")</f>
        <v/>
      </c>
      <c r="AD48">
        <f>HYPERLINK("https://klasma.github.io/Logging_1276/tillsynsmail/S 841-2023 tillsynsbegäran mail.docx", "S 841-2023")</f>
        <v/>
      </c>
    </row>
    <row r="49" ht="15" customHeight="1">
      <c r="A49" t="inlineStr">
        <is>
          <t>S 3667-2023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45217</v>
      </c>
      <c r="E49" s="1" t="n">
        <v>46301</v>
      </c>
      <c r="F49" t="inlineStr">
        <is>
          <t>SKÅNE LÄN</t>
        </is>
      </c>
      <c r="G49" t="inlineStr">
        <is>
          <t>KLIPPAN</t>
        </is>
      </c>
      <c r="I49" t="n">
        <v>186.4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HYPERLINK("https://klasma.github.io/Logging_1276/artfynd/S 3667-2023 artfynd.xlsx", "S 3667-2023")</f>
        <v/>
      </c>
      <c r="X49">
        <f>HYPERLINK("https://klasma.github.io/Logging_1276/kartor/S 3667-2023 karta.png", "S 3667-2023")</f>
        <v/>
      </c>
      <c r="Y49">
        <f>HYPERLINK("https://klasma.github.io/Logging_1276/kartor_geotiff/S 3667-2023 georefererad karta.tif", "S 3667-2023")</f>
        <v/>
      </c>
      <c r="AA49">
        <f>HYPERLINK("https://klasma.github.io/Logging_1276/klagomål/S 3667-2023 FSC-klagomål.docx", "S 3667-2023")</f>
        <v/>
      </c>
      <c r="AB49">
        <f>HYPERLINK("https://klasma.github.io/Logging_1276/klagomålsmail/S 3667-2023 FSC-klagomål mail.docx", "S 3667-2023")</f>
        <v/>
      </c>
      <c r="AC49">
        <f>HYPERLINK("https://klasma.github.io/Logging_1276/tillsyn/S 3667-2023 tillsynsbegäran.docx", "S 3667-2023")</f>
        <v/>
      </c>
      <c r="AD49">
        <f>HYPERLINK("https://klasma.github.io/Logging_1276/tillsynsmail/S 3667-2023 tillsynsbegäran mail.docx", "S 3667-2023")</f>
        <v/>
      </c>
    </row>
    <row r="50" ht="15" customHeight="1">
      <c r="A50" t="inlineStr">
        <is>
          <t>S 5988-2022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44859</v>
      </c>
      <c r="E50" s="1" t="n">
        <v>46301</v>
      </c>
      <c r="F50" t="inlineStr">
        <is>
          <t>SKÅNE LÄN</t>
        </is>
      </c>
      <c r="G50" t="inlineStr">
        <is>
          <t>KLIPPAN</t>
        </is>
      </c>
      <c r="I50" t="n">
        <v>27.8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HYPERLINK("https://klasma.github.io/Logging_1276/artfynd/S 5988-2022 artfynd.xlsx", "S 5988-2022")</f>
        <v/>
      </c>
      <c r="X50">
        <f>HYPERLINK("https://klasma.github.io/Logging_1276/kartor/S 5988-2022 karta.png", "S 5988-2022")</f>
        <v/>
      </c>
      <c r="Y50">
        <f>HYPERLINK("https://klasma.github.io/Logging_1276/kartor_geotiff/S 5988-2022 georefererad karta.tif", "S 5988-2022")</f>
        <v/>
      </c>
      <c r="AA50">
        <f>HYPERLINK("https://klasma.github.io/Logging_1276/klagomål/S 5988-2022 FSC-klagomål.docx", "S 5988-2022")</f>
        <v/>
      </c>
      <c r="AB50">
        <f>HYPERLINK("https://klasma.github.io/Logging_1276/klagomålsmail/S 5988-2022 FSC-klagomål mail.docx", "S 5988-2022")</f>
        <v/>
      </c>
      <c r="AC50">
        <f>HYPERLINK("https://klasma.github.io/Logging_1276/tillsyn/S 5988-2022 tillsynsbegäran.docx", "S 5988-2022")</f>
        <v/>
      </c>
      <c r="AD50">
        <f>HYPERLINK("https://klasma.github.io/Logging_1276/tillsynsmail/S 5988-2022 tillsynsbegäran mail.docx", "S 5988-2022")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46301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46301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46301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46301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46301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46301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46301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46301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46301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46301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46301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46301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46301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46301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46301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46301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46301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46301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46301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46301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46301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45714</v>
      </c>
      <c r="E72" s="1" t="n">
        <v>46301</v>
      </c>
      <c r="F72" t="inlineStr">
        <is>
          <t>SKÅNE LÄN</t>
        </is>
      </c>
      <c r="G72" t="inlineStr">
        <is>
          <t>KLIPPAN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46301</v>
      </c>
      <c r="F73" t="inlineStr">
        <is>
          <t>SKÅNE LÄN</t>
        </is>
      </c>
      <c r="G73" t="inlineStr">
        <is>
          <t>KLIPPAN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46301</v>
      </c>
      <c r="F74" t="inlineStr">
        <is>
          <t>SKÅNE LÄN</t>
        </is>
      </c>
      <c r="G74" t="inlineStr">
        <is>
          <t>KLIPPAN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46301</v>
      </c>
      <c r="F75" t="inlineStr">
        <is>
          <t>SKÅNE LÄN</t>
        </is>
      </c>
      <c r="G75" t="inlineStr">
        <is>
          <t>KLIPPAN</t>
        </is>
      </c>
      <c r="H75" t="inlineStr">
        <is>
          <t>Övriga Aktiebolag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46301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46301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46301</v>
      </c>
      <c r="F78" t="inlineStr">
        <is>
          <t>SKÅNE LÄN</t>
        </is>
      </c>
      <c r="G78" t="inlineStr">
        <is>
          <t>KLIPPAN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55833-2023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45239</v>
      </c>
      <c r="E79" s="1" t="n">
        <v>46301</v>
      </c>
      <c r="F79" t="inlineStr">
        <is>
          <t>SKÅNE LÄN</t>
        </is>
      </c>
      <c r="G79" t="inlineStr">
        <is>
          <t>KLIPPAN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46301</v>
      </c>
      <c r="F80" t="inlineStr">
        <is>
          <t>SKÅNE LÄN</t>
        </is>
      </c>
      <c r="G80" t="inlineStr">
        <is>
          <t>KLIPPAN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46301</v>
      </c>
      <c r="F81" t="inlineStr">
        <is>
          <t>SKÅNE LÄN</t>
        </is>
      </c>
      <c r="G81" t="inlineStr">
        <is>
          <t>KLIPPAN</t>
        </is>
      </c>
      <c r="I81" t="n">
        <v>20.9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46301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46301</v>
      </c>
      <c r="F83" t="inlineStr">
        <is>
          <t>SKÅNE LÄN</t>
        </is>
      </c>
      <c r="G83" t="inlineStr">
        <is>
          <t>KLIPPAN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46301</v>
      </c>
      <c r="F84" t="inlineStr">
        <is>
          <t>SKÅNE LÄN</t>
        </is>
      </c>
      <c r="G84" t="inlineStr">
        <is>
          <t>KLIPPAN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46301</v>
      </c>
      <c r="F85" t="inlineStr">
        <is>
          <t>SKÅNE LÄN</t>
        </is>
      </c>
      <c r="G85" t="inlineStr">
        <is>
          <t>KLIPPAN</t>
        </is>
      </c>
      <c r="I85" t="n">
        <v>7.2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46301</v>
      </c>
      <c r="F86" t="inlineStr">
        <is>
          <t>SKÅNE LÄN</t>
        </is>
      </c>
      <c r="G86" t="inlineStr">
        <is>
          <t>KLIPPAN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46301</v>
      </c>
      <c r="F87" t="inlineStr">
        <is>
          <t>SKÅNE LÄN</t>
        </is>
      </c>
      <c r="G87" t="inlineStr">
        <is>
          <t>KLIPPAN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45641-2022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44845</v>
      </c>
      <c r="E88" s="1" t="n">
        <v>46301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45739</v>
      </c>
      <c r="E89" s="1" t="n">
        <v>46301</v>
      </c>
      <c r="F89" t="inlineStr">
        <is>
          <t>SKÅNE LÄN</t>
        </is>
      </c>
      <c r="G89" t="inlineStr">
        <is>
          <t>KLIPPAN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44988</v>
      </c>
      <c r="E90" s="1" t="n">
        <v>46301</v>
      </c>
      <c r="F90" t="inlineStr">
        <is>
          <t>SKÅNE LÄN</t>
        </is>
      </c>
      <c r="G90" t="inlineStr">
        <is>
          <t>KLIPPAN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55586-2021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46301</v>
      </c>
      <c r="F91" t="inlineStr">
        <is>
          <t>SKÅNE LÄN</t>
        </is>
      </c>
      <c r="G91" t="inlineStr">
        <is>
          <t>KLIPPAN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33331-2024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45519</v>
      </c>
      <c r="E92" s="1" t="n">
        <v>46301</v>
      </c>
      <c r="F92" t="inlineStr">
        <is>
          <t>SKÅNE LÄN</t>
        </is>
      </c>
      <c r="G92" t="inlineStr">
        <is>
          <t>KLIPPAN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46301</v>
      </c>
      <c r="F93" t="inlineStr">
        <is>
          <t>SKÅNE LÄN</t>
        </is>
      </c>
      <c r="G93" t="inlineStr">
        <is>
          <t>KLIPPAN</t>
        </is>
      </c>
      <c r="H93" t="inlineStr">
        <is>
          <t>Kommuner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27898-2025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46301</v>
      </c>
      <c r="F94" t="inlineStr">
        <is>
          <t>SKÅNE LÄN</t>
        </is>
      </c>
      <c r="G94" t="inlineStr">
        <is>
          <t>KLIPPAN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46301</v>
      </c>
      <c r="F95" t="inlineStr">
        <is>
          <t>SKÅNE LÄN</t>
        </is>
      </c>
      <c r="G95" t="inlineStr">
        <is>
          <t>KLIPPAN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46301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46301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46301</v>
      </c>
      <c r="F98" t="inlineStr">
        <is>
          <t>SKÅNE LÄN</t>
        </is>
      </c>
      <c r="G98" t="inlineStr">
        <is>
          <t>KLIPPAN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44928</v>
      </c>
      <c r="E99" s="1" t="n">
        <v>46301</v>
      </c>
      <c r="F99" t="inlineStr">
        <is>
          <t>SKÅNE LÄN</t>
        </is>
      </c>
      <c r="G99" t="inlineStr">
        <is>
          <t>KLIPPAN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46301</v>
      </c>
      <c r="F100" t="inlineStr">
        <is>
          <t>SKÅNE LÄN</t>
        </is>
      </c>
      <c r="G100" t="inlineStr">
        <is>
          <t>KLIPPAN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29284-2025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45824</v>
      </c>
      <c r="E101" s="1" t="n">
        <v>46301</v>
      </c>
      <c r="F101" t="inlineStr">
        <is>
          <t>SKÅNE LÄN</t>
        </is>
      </c>
      <c r="G101" t="inlineStr">
        <is>
          <t>KLIPPAN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8017-2022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46301</v>
      </c>
      <c r="F102" t="inlineStr">
        <is>
          <t>SKÅNE LÄN</t>
        </is>
      </c>
      <c r="G102" t="inlineStr">
        <is>
          <t>KLIPPAN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46301</v>
      </c>
      <c r="F103" t="inlineStr">
        <is>
          <t>SKÅNE LÄN</t>
        </is>
      </c>
      <c r="G103" t="inlineStr">
        <is>
          <t>KLIPPAN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46301</v>
      </c>
      <c r="F104" t="inlineStr">
        <is>
          <t>SKÅNE LÄN</t>
        </is>
      </c>
      <c r="G104" t="inlineStr">
        <is>
          <t>KLIPPAN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45562</v>
      </c>
      <c r="E105" s="1" t="n">
        <v>46301</v>
      </c>
      <c r="F105" t="inlineStr">
        <is>
          <t>SKÅNE LÄN</t>
        </is>
      </c>
      <c r="G105" t="inlineStr">
        <is>
          <t>KLIPPAN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46301</v>
      </c>
      <c r="F106" t="inlineStr">
        <is>
          <t>SKÅNE LÄN</t>
        </is>
      </c>
      <c r="G106" t="inlineStr">
        <is>
          <t>KLIPPAN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45013</v>
      </c>
      <c r="E107" s="1" t="n">
        <v>46301</v>
      </c>
      <c r="F107" t="inlineStr">
        <is>
          <t>SKÅNE LÄN</t>
        </is>
      </c>
      <c r="G107" t="inlineStr">
        <is>
          <t>KLIPPAN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45055</v>
      </c>
      <c r="E108" s="1" t="n">
        <v>46301</v>
      </c>
      <c r="F108" t="inlineStr">
        <is>
          <t>SKÅNE LÄN</t>
        </is>
      </c>
      <c r="G108" t="inlineStr">
        <is>
          <t>KLIPPAN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34479-2025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46301</v>
      </c>
      <c r="F109" t="inlineStr">
        <is>
          <t>SKÅNE LÄN</t>
        </is>
      </c>
      <c r="G109" t="inlineStr">
        <is>
          <t>KLIPPAN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46301</v>
      </c>
      <c r="F110" t="inlineStr">
        <is>
          <t>SKÅNE LÄN</t>
        </is>
      </c>
      <c r="G110" t="inlineStr">
        <is>
          <t>KLIPPAN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46301</v>
      </c>
      <c r="F111" t="inlineStr">
        <is>
          <t>SKÅNE LÄN</t>
        </is>
      </c>
      <c r="G111" t="inlineStr">
        <is>
          <t>KLIPPAN</t>
        </is>
      </c>
      <c r="I111" t="n">
        <v>9.699999999999999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46301</v>
      </c>
      <c r="F112" t="inlineStr">
        <is>
          <t>SKÅNE LÄN</t>
        </is>
      </c>
      <c r="G112" t="inlineStr">
        <is>
          <t>KLIPPAN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46301</v>
      </c>
      <c r="F113" t="inlineStr">
        <is>
          <t>SKÅNE LÄN</t>
        </is>
      </c>
      <c r="G113" t="inlineStr">
        <is>
          <t>KLIPPAN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44977</v>
      </c>
      <c r="E114" s="1" t="n">
        <v>46301</v>
      </c>
      <c r="F114" t="inlineStr">
        <is>
          <t>SKÅNE LÄN</t>
        </is>
      </c>
      <c r="G114" t="inlineStr">
        <is>
          <t>KLIPPAN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46301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45260</v>
      </c>
      <c r="E116" s="1" t="n">
        <v>46301</v>
      </c>
      <c r="F116" t="inlineStr">
        <is>
          <t>SKÅNE LÄN</t>
        </is>
      </c>
      <c r="G116" t="inlineStr">
        <is>
          <t>KLIPPAN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46301</v>
      </c>
      <c r="F117" t="inlineStr">
        <is>
          <t>SKÅNE LÄN</t>
        </is>
      </c>
      <c r="G117" t="inlineStr">
        <is>
          <t>KLIPPAN</t>
        </is>
      </c>
      <c r="H117" t="inlineStr">
        <is>
          <t>Övriga Aktiebolag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46301</v>
      </c>
      <c r="F118" t="inlineStr">
        <is>
          <t>SKÅNE LÄN</t>
        </is>
      </c>
      <c r="G118" t="inlineStr">
        <is>
          <t>KLIPPAN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46301</v>
      </c>
      <c r="F119" t="inlineStr">
        <is>
          <t>SKÅNE LÄN</t>
        </is>
      </c>
      <c r="G119" t="inlineStr">
        <is>
          <t>KLIPPAN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46301</v>
      </c>
      <c r="F120" t="inlineStr">
        <is>
          <t>SKÅNE LÄN</t>
        </is>
      </c>
      <c r="G120" t="inlineStr">
        <is>
          <t>KLIPPAN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9488-2026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46301</v>
      </c>
      <c r="F121" t="inlineStr">
        <is>
          <t>SKÅNE LÄN</t>
        </is>
      </c>
      <c r="G121" t="inlineStr">
        <is>
          <t>KLIPPAN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46301</v>
      </c>
      <c r="F122" t="inlineStr">
        <is>
          <t>SKÅNE LÄN</t>
        </is>
      </c>
      <c r="G122" t="inlineStr">
        <is>
          <t>KLIPPAN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45055</v>
      </c>
      <c r="E123" s="1" t="n">
        <v>46301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46301</v>
      </c>
      <c r="F124" t="inlineStr">
        <is>
          <t>SKÅNE LÄN</t>
        </is>
      </c>
      <c r="G124" t="inlineStr">
        <is>
          <t>KLIPPAN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46301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46301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46301</v>
      </c>
      <c r="F127" t="inlineStr">
        <is>
          <t>SKÅNE LÄN</t>
        </is>
      </c>
      <c r="G127" t="inlineStr">
        <is>
          <t>KLIPPAN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46301</v>
      </c>
      <c r="F128" t="inlineStr">
        <is>
          <t>SKÅNE LÄN</t>
        </is>
      </c>
      <c r="G128" t="inlineStr">
        <is>
          <t>KLIPPAN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46301</v>
      </c>
      <c r="F129" t="inlineStr">
        <is>
          <t>SKÅNE LÄN</t>
        </is>
      </c>
      <c r="G129" t="inlineStr">
        <is>
          <t>KLIPPAN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46301</v>
      </c>
      <c r="F130" t="inlineStr">
        <is>
          <t>SKÅNE LÄN</t>
        </is>
      </c>
      <c r="G130" t="inlineStr">
        <is>
          <t>KLIPPAN</t>
        </is>
      </c>
      <c r="H130" t="inlineStr">
        <is>
          <t>Övriga Aktiebolag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46301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45972</v>
      </c>
      <c r="E132" s="1" t="n">
        <v>46301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55587-2021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46301</v>
      </c>
      <c r="F133" t="inlineStr">
        <is>
          <t>SKÅNE LÄN</t>
        </is>
      </c>
      <c r="G133" t="inlineStr">
        <is>
          <t>KLIPPAN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46301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45981</v>
      </c>
      <c r="E135" s="1" t="n">
        <v>46301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69041-2021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44529</v>
      </c>
      <c r="E136" s="1" t="n">
        <v>46301</v>
      </c>
      <c r="F136" t="inlineStr">
        <is>
          <t>SKÅNE LÄN</t>
        </is>
      </c>
      <c r="G136" t="inlineStr">
        <is>
          <t>KLIPPAN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45077</v>
      </c>
      <c r="E137" s="1" t="n">
        <v>46301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45079</v>
      </c>
      <c r="E138" s="1" t="n">
        <v>46301</v>
      </c>
      <c r="F138" t="inlineStr">
        <is>
          <t>SKÅNE LÄN</t>
        </is>
      </c>
      <c r="G138" t="inlineStr">
        <is>
          <t>KLIPPAN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44978</v>
      </c>
      <c r="E139" s="1" t="n">
        <v>46301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46301</v>
      </c>
      <c r="F140" t="inlineStr">
        <is>
          <t>SKÅNE LÄN</t>
        </is>
      </c>
      <c r="G140" t="inlineStr">
        <is>
          <t>KLIPPAN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36842-2024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46301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44930</v>
      </c>
      <c r="E142" s="1" t="n">
        <v>46301</v>
      </c>
      <c r="F142" t="inlineStr">
        <is>
          <t>SKÅNE LÄN</t>
        </is>
      </c>
      <c r="G142" t="inlineStr">
        <is>
          <t>KLIPPAN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46301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45055</v>
      </c>
      <c r="E144" s="1" t="n">
        <v>46301</v>
      </c>
      <c r="F144" t="inlineStr">
        <is>
          <t>SKÅNE LÄN</t>
        </is>
      </c>
      <c r="G144" t="inlineStr">
        <is>
          <t>KLIPPAN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55588-2021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44475</v>
      </c>
      <c r="E145" s="1" t="n">
        <v>46301</v>
      </c>
      <c r="F145" t="inlineStr">
        <is>
          <t>SKÅNE LÄN</t>
        </is>
      </c>
      <c r="G145" t="inlineStr">
        <is>
          <t>KLIPPAN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45588</v>
      </c>
      <c r="E146" s="1" t="n">
        <v>46301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46301</v>
      </c>
      <c r="F147" t="inlineStr">
        <is>
          <t>SKÅNE LÄN</t>
        </is>
      </c>
      <c r="G147" t="inlineStr">
        <is>
          <t>KLIPPAN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46301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45104</v>
      </c>
      <c r="E149" s="1" t="n">
        <v>46301</v>
      </c>
      <c r="F149" t="inlineStr">
        <is>
          <t>SKÅNE LÄN</t>
        </is>
      </c>
      <c r="G149" t="inlineStr">
        <is>
          <t>KLIPPAN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42281-2024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45562</v>
      </c>
      <c r="E150" s="1" t="n">
        <v>46301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46301</v>
      </c>
      <c r="F151" t="inlineStr">
        <is>
          <t>SKÅNE LÄN</t>
        </is>
      </c>
      <c r="G151" t="inlineStr">
        <is>
          <t>KLIPPAN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46027</v>
      </c>
      <c r="E152" s="1" t="n">
        <v>46301</v>
      </c>
      <c r="F152" t="inlineStr">
        <is>
          <t>SKÅNE LÄN</t>
        </is>
      </c>
      <c r="G152" t="inlineStr">
        <is>
          <t>KLIPPAN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46301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58642-2021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46301</v>
      </c>
      <c r="F154" t="inlineStr">
        <is>
          <t>SKÅNE LÄN</t>
        </is>
      </c>
      <c r="G154" t="inlineStr">
        <is>
          <t>KLIPPAN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45275</v>
      </c>
      <c r="E155" s="1" t="n">
        <v>46301</v>
      </c>
      <c r="F155" t="inlineStr">
        <is>
          <t>SKÅNE LÄN</t>
        </is>
      </c>
      <c r="G155" t="inlineStr">
        <is>
          <t>KLIPPAN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46301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44992</v>
      </c>
      <c r="E157" s="1" t="n">
        <v>46301</v>
      </c>
      <c r="F157" t="inlineStr">
        <is>
          <t>SKÅNE LÄN</t>
        </is>
      </c>
      <c r="G157" t="inlineStr">
        <is>
          <t>KLIPPAN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46301</v>
      </c>
      <c r="F158" t="inlineStr">
        <is>
          <t>SKÅNE LÄN</t>
        </is>
      </c>
      <c r="G158" t="inlineStr">
        <is>
          <t>KLIPPAN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18214-2023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45040</v>
      </c>
      <c r="E159" s="1" t="n">
        <v>46301</v>
      </c>
      <c r="F159" t="inlineStr">
        <is>
          <t>SKÅNE LÄN</t>
        </is>
      </c>
      <c r="G159" t="inlineStr">
        <is>
          <t>KLIPPAN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44944</v>
      </c>
      <c r="E160" s="1" t="n">
        <v>46301</v>
      </c>
      <c r="F160" t="inlineStr">
        <is>
          <t>SKÅNE LÄN</t>
        </is>
      </c>
      <c r="G160" t="inlineStr">
        <is>
          <t>KLIPPAN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46301</v>
      </c>
      <c r="F161" t="inlineStr">
        <is>
          <t>SKÅNE LÄN</t>
        </is>
      </c>
      <c r="G161" t="inlineStr">
        <is>
          <t>KLIPPAN</t>
        </is>
      </c>
      <c r="H161" t="inlineStr">
        <is>
          <t>Övriga Aktiebolag</t>
        </is>
      </c>
      <c r="I161" t="n">
        <v>11.6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46301</v>
      </c>
      <c r="F162" t="inlineStr">
        <is>
          <t>SKÅNE LÄN</t>
        </is>
      </c>
      <c r="G162" t="inlineStr">
        <is>
          <t>KLIPPAN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45673</v>
      </c>
      <c r="E163" s="1" t="n">
        <v>46301</v>
      </c>
      <c r="F163" t="inlineStr">
        <is>
          <t>SKÅNE LÄN</t>
        </is>
      </c>
      <c r="G163" t="inlineStr">
        <is>
          <t>KLIPPAN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46301</v>
      </c>
      <c r="F164" t="inlineStr">
        <is>
          <t>SKÅNE LÄN</t>
        </is>
      </c>
      <c r="G164" t="inlineStr">
        <is>
          <t>KLIPPAN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46301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46301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46301</v>
      </c>
      <c r="F167" t="inlineStr">
        <is>
          <t>SKÅNE LÄN</t>
        </is>
      </c>
      <c r="G167" t="inlineStr">
        <is>
          <t>KLIPPAN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46301</v>
      </c>
      <c r="F168" t="inlineStr">
        <is>
          <t>SKÅNE LÄN</t>
        </is>
      </c>
      <c r="G168" t="inlineStr">
        <is>
          <t>KLIPPAN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46301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46301</v>
      </c>
      <c r="F170" t="inlineStr">
        <is>
          <t>SKÅNE LÄN</t>
        </is>
      </c>
      <c r="G170" t="inlineStr">
        <is>
          <t>KLIPPAN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46301</v>
      </c>
      <c r="F171" t="inlineStr">
        <is>
          <t>SKÅNE LÄN</t>
        </is>
      </c>
      <c r="G171" t="inlineStr">
        <is>
          <t>KLIPPAN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46149</v>
      </c>
      <c r="E172" s="1" t="n">
        <v>46301</v>
      </c>
      <c r="F172" t="inlineStr">
        <is>
          <t>SKÅNE LÄN</t>
        </is>
      </c>
      <c r="G172" t="inlineStr">
        <is>
          <t>KLIPPAN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46149</v>
      </c>
      <c r="E173" s="1" t="n">
        <v>46301</v>
      </c>
      <c r="F173" t="inlineStr">
        <is>
          <t>SKÅNE LÄN</t>
        </is>
      </c>
      <c r="G173" t="inlineStr">
        <is>
          <t>KLIPPAN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46301</v>
      </c>
      <c r="F174" t="inlineStr">
        <is>
          <t>SKÅNE LÄN</t>
        </is>
      </c>
      <c r="G174" t="inlineStr">
        <is>
          <t>KLIPPAN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46301</v>
      </c>
      <c r="F175" t="inlineStr">
        <is>
          <t>SKÅNE LÄN</t>
        </is>
      </c>
      <c r="G175" t="inlineStr">
        <is>
          <t>KLIPPAN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51844-2023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46301</v>
      </c>
      <c r="F176" t="inlineStr">
        <is>
          <t>SKÅNE LÄN</t>
        </is>
      </c>
      <c r="G176" t="inlineStr">
        <is>
          <t>KLIPPAN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45199</v>
      </c>
      <c r="E177" s="1" t="n">
        <v>46301</v>
      </c>
      <c r="F177" t="inlineStr">
        <is>
          <t>SKÅNE LÄN</t>
        </is>
      </c>
      <c r="G177" t="inlineStr">
        <is>
          <t>KLIPPAN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45104</v>
      </c>
      <c r="E178" s="1" t="n">
        <v>46301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46301</v>
      </c>
      <c r="F179" t="inlineStr">
        <is>
          <t>SKÅNE LÄN</t>
        </is>
      </c>
      <c r="G179" t="inlineStr">
        <is>
          <t>KLIPPAN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46301</v>
      </c>
      <c r="F180" t="inlineStr">
        <is>
          <t>SKÅNE LÄN</t>
        </is>
      </c>
      <c r="G180" t="inlineStr">
        <is>
          <t>KLIPPAN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44659</v>
      </c>
      <c r="E181" s="1" t="n">
        <v>46301</v>
      </c>
      <c r="F181" t="inlineStr">
        <is>
          <t>SKÅNE LÄN</t>
        </is>
      </c>
      <c r="G181" t="inlineStr">
        <is>
          <t>KLIPPAN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46301</v>
      </c>
      <c r="F182" t="inlineStr">
        <is>
          <t>SKÅNE LÄN</t>
        </is>
      </c>
      <c r="G182" t="inlineStr">
        <is>
          <t>KLIPPAN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44697</v>
      </c>
      <c r="E183" s="1" t="n">
        <v>46301</v>
      </c>
      <c r="F183" t="inlineStr">
        <is>
          <t>SKÅNE LÄN</t>
        </is>
      </c>
      <c r="G183" t="inlineStr">
        <is>
          <t>KLIPPAN</t>
        </is>
      </c>
      <c r="I183" t="n">
        <v>17.2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46177</v>
      </c>
      <c r="E184" s="1" t="n">
        <v>46301</v>
      </c>
      <c r="F184" t="inlineStr">
        <is>
          <t>SKÅNE LÄN</t>
        </is>
      </c>
      <c r="G184" t="inlineStr">
        <is>
          <t>KLIPPAN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46301</v>
      </c>
      <c r="F185" t="inlineStr">
        <is>
          <t>SKÅNE LÄN</t>
        </is>
      </c>
      <c r="G185" t="inlineStr">
        <is>
          <t>KLIPPAN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44593</v>
      </c>
      <c r="E186" s="1" t="n">
        <v>46301</v>
      </c>
      <c r="F186" t="inlineStr">
        <is>
          <t>SKÅNE LÄN</t>
        </is>
      </c>
      <c r="G186" t="inlineStr">
        <is>
          <t>KLIPPAN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46301</v>
      </c>
      <c r="F187" t="inlineStr">
        <is>
          <t>SKÅNE LÄN</t>
        </is>
      </c>
      <c r="G187" t="inlineStr">
        <is>
          <t>KLIPPAN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46301</v>
      </c>
      <c r="F188" t="inlineStr">
        <is>
          <t>SKÅNE LÄN</t>
        </is>
      </c>
      <c r="G188" t="inlineStr">
        <is>
          <t>KLIPPAN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45660</v>
      </c>
      <c r="E189" s="1" t="n">
        <v>46301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45442</v>
      </c>
      <c r="E190" s="1" t="n">
        <v>46301</v>
      </c>
      <c r="F190" t="inlineStr">
        <is>
          <t>SKÅNE LÄN</t>
        </is>
      </c>
      <c r="G190" t="inlineStr">
        <is>
          <t>KLIPPAN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46728-2023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45198</v>
      </c>
      <c r="E191" s="1" t="n">
        <v>46301</v>
      </c>
      <c r="F191" t="inlineStr">
        <is>
          <t>SKÅNE LÄN</t>
        </is>
      </c>
      <c r="G191" t="inlineStr">
        <is>
          <t>KLIPPAN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46301</v>
      </c>
      <c r="F192" t="inlineStr">
        <is>
          <t>SKÅNE LÄN</t>
        </is>
      </c>
      <c r="G192" t="inlineStr">
        <is>
          <t>KLIPPAN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46301</v>
      </c>
      <c r="F193" t="inlineStr">
        <is>
          <t>SKÅNE LÄN</t>
        </is>
      </c>
      <c r="G193" t="inlineStr">
        <is>
          <t>KLIPPAN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44726</v>
      </c>
      <c r="E194" s="1" t="n">
        <v>46301</v>
      </c>
      <c r="F194" t="inlineStr">
        <is>
          <t>SKÅNE LÄN</t>
        </is>
      </c>
      <c r="G194" t="inlineStr">
        <is>
          <t>KLIPPAN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46301</v>
      </c>
      <c r="F195" t="inlineStr">
        <is>
          <t>SKÅNE LÄN</t>
        </is>
      </c>
      <c r="G195" t="inlineStr">
        <is>
          <t>KLIPPAN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46301</v>
      </c>
      <c r="F196" t="inlineStr">
        <is>
          <t>SKÅNE LÄN</t>
        </is>
      </c>
      <c r="G196" t="inlineStr">
        <is>
          <t>KLIPPAN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46301</v>
      </c>
      <c r="F197" t="inlineStr">
        <is>
          <t>SKÅNE LÄN</t>
        </is>
      </c>
      <c r="G197" t="inlineStr">
        <is>
          <t>KLIPPAN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45078</v>
      </c>
      <c r="E198" s="1" t="n">
        <v>46301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46301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46301</v>
      </c>
      <c r="F200" t="inlineStr">
        <is>
          <t>SKÅNE LÄN</t>
        </is>
      </c>
      <c r="G200" t="inlineStr">
        <is>
          <t>KLIPPAN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46301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45320</v>
      </c>
      <c r="E202" s="1" t="n">
        <v>46301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46301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46301</v>
      </c>
      <c r="F204" t="inlineStr">
        <is>
          <t>SKÅNE LÄN</t>
        </is>
      </c>
      <c r="G204" t="inlineStr">
        <is>
          <t>KLIPPAN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46301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20002-2022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44697</v>
      </c>
      <c r="E206" s="1" t="n">
        <v>46301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30215-2026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46301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46301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46301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46301</v>
      </c>
      <c r="F210" t="inlineStr">
        <is>
          <t>SKÅNE LÄN</t>
        </is>
      </c>
      <c r="G210" t="inlineStr">
        <is>
          <t>KLIPPAN</t>
        </is>
      </c>
      <c r="H210" t="inlineStr">
        <is>
          <t>Övriga Aktiebolag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46301</v>
      </c>
      <c r="F211" t="inlineStr">
        <is>
          <t>SKÅNE LÄN</t>
        </is>
      </c>
      <c r="G211" t="inlineStr">
        <is>
          <t>KLIPPAN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46209</v>
      </c>
      <c r="E212" s="1" t="n">
        <v>46301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30353-2026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46301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44880</v>
      </c>
      <c r="E214" s="1" t="n">
        <v>46301</v>
      </c>
      <c r="F214" t="inlineStr">
        <is>
          <t>SKÅNE LÄN</t>
        </is>
      </c>
      <c r="G214" t="inlineStr">
        <is>
          <t>KLIPPAN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68856-2021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46301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23341-2026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46301</v>
      </c>
      <c r="F216" t="inlineStr">
        <is>
          <t>SKÅNE LÄN</t>
        </is>
      </c>
      <c r="G216" t="inlineStr">
        <is>
          <t>KLIPPAN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46216</v>
      </c>
      <c r="E217" s="1" t="n">
        <v>46301</v>
      </c>
      <c r="F217" t="inlineStr">
        <is>
          <t>SKÅNE LÄN</t>
        </is>
      </c>
      <c r="G217" t="inlineStr">
        <is>
          <t>KLIPPAN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46216</v>
      </c>
      <c r="E218" s="1" t="n">
        <v>46301</v>
      </c>
      <c r="F218" t="inlineStr">
        <is>
          <t>SKÅNE LÄN</t>
        </is>
      </c>
      <c r="G218" t="inlineStr">
        <is>
          <t>KLIPPAN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46216</v>
      </c>
      <c r="E219" s="1" t="n">
        <v>46301</v>
      </c>
      <c r="F219" t="inlineStr">
        <is>
          <t>SKÅNE LÄN</t>
        </is>
      </c>
      <c r="G219" t="inlineStr">
        <is>
          <t>KLIPPAN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46301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46301</v>
      </c>
      <c r="F221" t="inlineStr">
        <is>
          <t>SKÅNE LÄN</t>
        </is>
      </c>
      <c r="G221" t="inlineStr">
        <is>
          <t>KLIPPAN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46301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46198</v>
      </c>
      <c r="E223" s="1" t="n">
        <v>46301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39244-2022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46301</v>
      </c>
      <c r="F224" t="inlineStr">
        <is>
          <t>SKÅNE LÄN</t>
        </is>
      </c>
      <c r="G224" t="inlineStr">
        <is>
          <t>KLIPPAN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44993</v>
      </c>
      <c r="E225" s="1" t="n">
        <v>46301</v>
      </c>
      <c r="F225" t="inlineStr">
        <is>
          <t>SKÅNE LÄN</t>
        </is>
      </c>
      <c r="G225" t="inlineStr">
        <is>
          <t>KLIPPAN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46265</v>
      </c>
      <c r="E226" s="1" t="n">
        <v>46301</v>
      </c>
      <c r="F226" t="inlineStr">
        <is>
          <t>SKÅNE LÄN</t>
        </is>
      </c>
      <c r="G226" t="inlineStr">
        <is>
          <t>KLIPPAN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46301</v>
      </c>
      <c r="F227" t="inlineStr">
        <is>
          <t>SKÅNE LÄN</t>
        </is>
      </c>
      <c r="G227" t="inlineStr">
        <is>
          <t>KLIPPAN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45161</v>
      </c>
      <c r="E228" s="1" t="n">
        <v>46301</v>
      </c>
      <c r="F228" t="inlineStr">
        <is>
          <t>SKÅNE LÄN</t>
        </is>
      </c>
      <c r="G228" t="inlineStr">
        <is>
          <t>KLIPPAN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46301</v>
      </c>
      <c r="F229" t="inlineStr">
        <is>
          <t>SKÅNE LÄN</t>
        </is>
      </c>
      <c r="G229" t="inlineStr">
        <is>
          <t>KLIPPAN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44875</v>
      </c>
      <c r="E230" s="1" t="n">
        <v>46301</v>
      </c>
      <c r="F230" t="inlineStr">
        <is>
          <t>SKÅNE LÄN</t>
        </is>
      </c>
      <c r="G230" t="inlineStr">
        <is>
          <t>KLIPPAN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36475-2026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46269</v>
      </c>
      <c r="E231" s="1" t="n">
        <v>46301</v>
      </c>
      <c r="F231" t="inlineStr">
        <is>
          <t>SKÅNE LÄN</t>
        </is>
      </c>
      <c r="G231" t="inlineStr">
        <is>
          <t>KLIPPAN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46301</v>
      </c>
      <c r="F232" t="inlineStr">
        <is>
          <t>SKÅNE LÄN</t>
        </is>
      </c>
      <c r="G232" t="inlineStr">
        <is>
          <t>KLIPPAN</t>
        </is>
      </c>
      <c r="H232" t="inlineStr">
        <is>
          <t>Sveaskog</t>
        </is>
      </c>
      <c r="I232" t="n">
        <v>9.300000000000001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36480-2026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46269</v>
      </c>
      <c r="E233" s="1" t="n">
        <v>46301</v>
      </c>
      <c r="F233" t="inlineStr">
        <is>
          <t>SKÅNE LÄN</t>
        </is>
      </c>
      <c r="G233" t="inlineStr">
        <is>
          <t>KLIPPAN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46301</v>
      </c>
      <c r="F234" t="inlineStr">
        <is>
          <t>SKÅNE LÄN</t>
        </is>
      </c>
      <c r="G234" t="inlineStr">
        <is>
          <t>KLIPPAN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44944</v>
      </c>
      <c r="E235" s="1" t="n">
        <v>46301</v>
      </c>
      <c r="F235" t="inlineStr">
        <is>
          <t>SKÅNE LÄN</t>
        </is>
      </c>
      <c r="G235" t="inlineStr">
        <is>
          <t>KLIPPAN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46301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46136</v>
      </c>
      <c r="E237" s="1" t="n">
        <v>46301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46279</v>
      </c>
      <c r="E238" s="1" t="n">
        <v>46301</v>
      </c>
      <c r="F238" t="inlineStr">
        <is>
          <t>SKÅNE LÄN</t>
        </is>
      </c>
      <c r="G238" t="inlineStr">
        <is>
          <t>KLIPPAN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46301</v>
      </c>
      <c r="F239" t="inlineStr">
        <is>
          <t>SKÅNE LÄN</t>
        </is>
      </c>
      <c r="G239" t="inlineStr">
        <is>
          <t>KLIPPAN</t>
        </is>
      </c>
      <c r="H239" t="inlineStr">
        <is>
          <t>Övriga Aktiebolag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46281</v>
      </c>
      <c r="E240" s="1" t="n">
        <v>46301</v>
      </c>
      <c r="F240" t="inlineStr">
        <is>
          <t>SKÅNE LÄN</t>
        </is>
      </c>
      <c r="G240" t="inlineStr">
        <is>
          <t>KLIPPAN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46301</v>
      </c>
      <c r="F241" t="inlineStr">
        <is>
          <t>SKÅNE LÄN</t>
        </is>
      </c>
      <c r="G241" t="inlineStr">
        <is>
          <t>KLIPPAN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45523</v>
      </c>
      <c r="E242" s="1" t="n">
        <v>46301</v>
      </c>
      <c r="F242" t="inlineStr">
        <is>
          <t>SKÅNE LÄN</t>
        </is>
      </c>
      <c r="G242" t="inlineStr">
        <is>
          <t>KLIPPAN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45224</v>
      </c>
      <c r="E243" s="1" t="n">
        <v>46301</v>
      </c>
      <c r="F243" t="inlineStr">
        <is>
          <t>SKÅNE LÄN</t>
        </is>
      </c>
      <c r="G243" t="inlineStr">
        <is>
          <t>KLIPPAN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46286</v>
      </c>
      <c r="E244" s="1" t="n">
        <v>46301</v>
      </c>
      <c r="F244" t="inlineStr">
        <is>
          <t>SKÅNE LÄN</t>
        </is>
      </c>
      <c r="G244" t="inlineStr">
        <is>
          <t>KLIPPAN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46287</v>
      </c>
      <c r="E245" s="1" t="n">
        <v>46301</v>
      </c>
      <c r="F245" t="inlineStr">
        <is>
          <t>SKÅNE LÄN</t>
        </is>
      </c>
      <c r="G245" t="inlineStr">
        <is>
          <t>KLIPPAN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47870-2022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46301</v>
      </c>
      <c r="F246" t="inlineStr">
        <is>
          <t>SKÅNE LÄN</t>
        </is>
      </c>
      <c r="G246" t="inlineStr">
        <is>
          <t>KLIPPAN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46301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45399</v>
      </c>
      <c r="E248" s="1" t="n">
        <v>46301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46301</v>
      </c>
      <c r="F249" t="inlineStr">
        <is>
          <t>SKÅNE LÄN</t>
        </is>
      </c>
      <c r="G249" t="inlineStr">
        <is>
          <t>KLIPPAN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45739</v>
      </c>
      <c r="E250" s="1" t="n">
        <v>46301</v>
      </c>
      <c r="F250" t="inlineStr">
        <is>
          <t>SKÅNE LÄN</t>
        </is>
      </c>
      <c r="G250" t="inlineStr">
        <is>
          <t>KLIPPAN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46301</v>
      </c>
      <c r="F251" t="inlineStr">
        <is>
          <t>SKÅNE LÄN</t>
        </is>
      </c>
      <c r="G251" t="inlineStr">
        <is>
          <t>KLIPPAN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46301</v>
      </c>
      <c r="F252" t="inlineStr">
        <is>
          <t>SKÅNE LÄN</t>
        </is>
      </c>
      <c r="G252" t="inlineStr">
        <is>
          <t>KLIPPAN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46223</v>
      </c>
      <c r="E253" s="1" t="n">
        <v>46301</v>
      </c>
      <c r="F253" t="inlineStr">
        <is>
          <t>SKÅNE LÄN</t>
        </is>
      </c>
      <c r="G253" t="inlineStr">
        <is>
          <t>KLIPPAN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46301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46301</v>
      </c>
      <c r="F255" t="inlineStr">
        <is>
          <t>SKÅNE LÄN</t>
        </is>
      </c>
      <c r="G255" t="inlineStr">
        <is>
          <t>KLIPPAN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46301</v>
      </c>
      <c r="F256" t="inlineStr">
        <is>
          <t>SKÅNE LÄN</t>
        </is>
      </c>
      <c r="G256" t="inlineStr">
        <is>
          <t>KLIPPAN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46301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46301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46301</v>
      </c>
      <c r="F259" t="inlineStr">
        <is>
          <t>SKÅNE LÄN</t>
        </is>
      </c>
      <c r="G259" t="inlineStr">
        <is>
          <t>KLIPPAN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34199-2026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46253</v>
      </c>
      <c r="E260" s="1" t="n">
        <v>46301</v>
      </c>
      <c r="F260" t="inlineStr">
        <is>
          <t>SKÅNE LÄN</t>
        </is>
      </c>
      <c r="G260" t="inlineStr">
        <is>
          <t>KLIPPAN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46295</v>
      </c>
      <c r="E261" s="1" t="n">
        <v>46301</v>
      </c>
      <c r="F261" t="inlineStr">
        <is>
          <t>SKÅNE LÄN</t>
        </is>
      </c>
      <c r="G261" t="inlineStr">
        <is>
          <t>KLIPPAN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46301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46301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46301</v>
      </c>
      <c r="F264" t="inlineStr">
        <is>
          <t>SKÅNE LÄN</t>
        </is>
      </c>
      <c r="G264" t="inlineStr">
        <is>
          <t>KLIPPAN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46301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46301</v>
      </c>
      <c r="F266" t="inlineStr">
        <is>
          <t>SKÅNE LÄN</t>
        </is>
      </c>
      <c r="G266" t="inlineStr">
        <is>
          <t>KLIPPAN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23220-2026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46301</v>
      </c>
      <c r="F267" t="inlineStr">
        <is>
          <t>SKÅNE LÄN</t>
        </is>
      </c>
      <c r="G267" t="inlineStr">
        <is>
          <t>KLIPPAN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49989-2024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45597</v>
      </c>
      <c r="E268" s="1" t="n">
        <v>46301</v>
      </c>
      <c r="F268" t="inlineStr">
        <is>
          <t>SKÅNE LÄN</t>
        </is>
      </c>
      <c r="G268" t="inlineStr">
        <is>
          <t>KLIPPAN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45573</v>
      </c>
      <c r="E269" s="1" t="n">
        <v>46301</v>
      </c>
      <c r="F269" t="inlineStr">
        <is>
          <t>SKÅNE LÄN</t>
        </is>
      </c>
      <c r="G269" t="inlineStr">
        <is>
          <t>KLIPPAN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69394-2021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44531</v>
      </c>
      <c r="E270" s="1" t="n">
        <v>46301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704-2022</t>
        </is>
      </c>
      <c r="B271" t="inlineStr">
        <is>
          <t>samrådsanmälan</t>
        </is>
      </c>
      <c r="C271" t="inlineStr">
        <is>
          <t>Skogsbilväg</t>
        </is>
      </c>
      <c r="D271" s="1" t="n">
        <v>44599</v>
      </c>
      <c r="E271" s="1" t="n">
        <v>46301</v>
      </c>
      <c r="F271" t="inlineStr">
        <is>
          <t>SKÅNE LÄN</t>
        </is>
      </c>
      <c r="G271" t="inlineStr">
        <is>
          <t>KLIPPAN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2678-2022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44701</v>
      </c>
      <c r="E272" s="1" t="n">
        <v>46301</v>
      </c>
      <c r="F272" t="inlineStr">
        <is>
          <t>SKÅNE LÄN</t>
        </is>
      </c>
      <c r="G272" t="inlineStr">
        <is>
          <t>KLIPPAN</t>
        </is>
      </c>
      <c r="I272" t="n">
        <v>15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2690-2022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46301</v>
      </c>
      <c r="F273" t="inlineStr">
        <is>
          <t>SKÅNE LÄN</t>
        </is>
      </c>
      <c r="G273" t="inlineStr">
        <is>
          <t>KLIPPAN</t>
        </is>
      </c>
      <c r="I273" t="n">
        <v>16.3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3541-2023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45209</v>
      </c>
      <c r="E274" s="1" t="n">
        <v>46301</v>
      </c>
      <c r="F274" t="inlineStr">
        <is>
          <t>SKÅNE LÄN</t>
        </is>
      </c>
      <c r="G274" t="inlineStr">
        <is>
          <t>KLIPPAN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5970-2022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44858</v>
      </c>
      <c r="E275" s="1" t="n">
        <v>46301</v>
      </c>
      <c r="F275" t="inlineStr">
        <is>
          <t>SKÅNE LÄN</t>
        </is>
      </c>
      <c r="G275" t="inlineStr">
        <is>
          <t>KLIPPAN</t>
        </is>
      </c>
      <c r="I275" t="n">
        <v>10.6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116-2023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46301</v>
      </c>
      <c r="F276" t="inlineStr">
        <is>
          <t>SKÅNE LÄN</t>
        </is>
      </c>
      <c r="G276" t="inlineStr">
        <is>
          <t>KLIPPAN</t>
        </is>
      </c>
      <c r="I276" t="n">
        <v>51.8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525-2024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45348</v>
      </c>
      <c r="E277" s="1" t="n">
        <v>46301</v>
      </c>
      <c r="F277" t="inlineStr">
        <is>
          <t>SKÅNE LÄN</t>
        </is>
      </c>
      <c r="G277" t="inlineStr">
        <is>
          <t>KLIPPAN</t>
        </is>
      </c>
      <c r="I277" t="n">
        <v>22.3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1710-2024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46301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13.4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1713-2024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46301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12.3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3796-2024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46301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3804-2024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46301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1716-2024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45434</v>
      </c>
      <c r="E282" s="1" t="n">
        <v>46301</v>
      </c>
      <c r="F282" t="inlineStr">
        <is>
          <t>SKÅNE LÄN</t>
        </is>
      </c>
      <c r="G282" t="inlineStr">
        <is>
          <t>KLIPPAN</t>
        </is>
      </c>
      <c r="H282" t="inlineStr">
        <is>
          <t>Övriga Aktiebolag</t>
        </is>
      </c>
      <c r="I282" t="n">
        <v>29.5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110-2023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44936</v>
      </c>
      <c r="E283" s="1" t="n">
        <v>46301</v>
      </c>
      <c r="F283" t="inlineStr">
        <is>
          <t>SKÅNE LÄN</t>
        </is>
      </c>
      <c r="G283" t="inlineStr">
        <is>
          <t>KLIPPAN</t>
        </is>
      </c>
      <c r="I283" t="n">
        <v>26.9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3792-2024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46301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2225-2023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45109</v>
      </c>
      <c r="E285" s="1" t="n">
        <v>46301</v>
      </c>
      <c r="F285" t="inlineStr">
        <is>
          <t>SKÅNE LÄN</t>
        </is>
      </c>
      <c r="G285" t="inlineStr">
        <is>
          <t>KLIPPAN</t>
        </is>
      </c>
      <c r="I285" t="n">
        <v>15.2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5892-2022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44853</v>
      </c>
      <c r="E286" s="1" t="n">
        <v>46301</v>
      </c>
      <c r="F286" t="inlineStr">
        <is>
          <t>SKÅNE LÄN</t>
        </is>
      </c>
      <c r="G286" t="inlineStr">
        <is>
          <t>KLIPPAN</t>
        </is>
      </c>
      <c r="I286" t="n">
        <v>24.6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5986-2022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44859</v>
      </c>
      <c r="E287" s="1" t="n">
        <v>46301</v>
      </c>
      <c r="F287" t="inlineStr">
        <is>
          <t>SKÅNE LÄN</t>
        </is>
      </c>
      <c r="G287" t="inlineStr">
        <is>
          <t>KLIPPAN</t>
        </is>
      </c>
      <c r="I287" t="n">
        <v>19.6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4186-2024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45579</v>
      </c>
      <c r="E288" s="1" t="n">
        <v>46301</v>
      </c>
      <c r="F288" t="inlineStr">
        <is>
          <t>SKÅNE LÄN</t>
        </is>
      </c>
      <c r="G288" t="inlineStr">
        <is>
          <t>KLIPPAN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3806-2024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45558</v>
      </c>
      <c r="E289" s="1" t="n">
        <v>46301</v>
      </c>
      <c r="F289" t="inlineStr">
        <is>
          <t>SKÅNE LÄN</t>
        </is>
      </c>
      <c r="G289" t="inlineStr">
        <is>
          <t>KLIPPAN</t>
        </is>
      </c>
      <c r="H289" t="inlineStr">
        <is>
          <t>Sveaskog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1606-2025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45798</v>
      </c>
      <c r="E290" s="1" t="n">
        <v>46301</v>
      </c>
      <c r="F290" t="inlineStr">
        <is>
          <t>SKÅNE LÄN</t>
        </is>
      </c>
      <c r="G290" t="inlineStr">
        <is>
          <t>KLIPPAN</t>
        </is>
      </c>
      <c r="I290" t="n">
        <v>11.7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45947</v>
      </c>
      <c r="E291" s="1" t="n">
        <v>46301</v>
      </c>
      <c r="F291" t="inlineStr">
        <is>
          <t>SKÅNE LÄN</t>
        </is>
      </c>
      <c r="G291" t="inlineStr">
        <is>
          <t>KLIPPAN</t>
        </is>
      </c>
      <c r="I291" t="n">
        <v>48.2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83-2026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46034</v>
      </c>
      <c r="E292" s="1" t="n">
        <v>46301</v>
      </c>
      <c r="F292" t="inlineStr">
        <is>
          <t>SKÅNE LÄN</t>
        </is>
      </c>
      <c r="G292" t="inlineStr">
        <is>
          <t>KLIPPAN</t>
        </is>
      </c>
      <c r="I292" t="n">
        <v>8.9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166-2026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46044</v>
      </c>
      <c r="E293" s="1" t="n">
        <v>46301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2022-2026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46210</v>
      </c>
      <c r="E294" s="1" t="n">
        <v>46301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14.3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2019-2026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46210</v>
      </c>
      <c r="E295" s="1" t="n">
        <v>46301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20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>
      <c r="A296" t="inlineStr">
        <is>
          <t>S 2020-2026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46301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30.3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2026-10-06T01:52:19Z</dcterms:created>
  <dcterms:modified xmlns:dcterms="http://purl.org/dc/terms/" xmlns:xsi="http://www.w3.org/2001/XMLSchema-instance" xsi:type="dcterms:W3CDTF">2026-10-06T01:52:20Z</dcterms:modified>
</cp:coreProperties>
</file>